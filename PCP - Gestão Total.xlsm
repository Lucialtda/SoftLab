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 activeTab="1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" i="4" l="1"/>
  <c r="B3" i="4" s="1"/>
  <c r="C3" i="4" l="1"/>
  <c r="B4" i="4"/>
  <c r="B43" i="2"/>
  <c r="C7" i="4"/>
  <c r="C6" i="4"/>
  <c r="D3" i="4" l="1"/>
  <c r="C4" i="4"/>
  <c r="K40" i="2"/>
  <c r="D6" i="4"/>
  <c r="D7" i="4"/>
  <c r="C11" i="4"/>
  <c r="C8" i="4"/>
  <c r="C17" i="4"/>
  <c r="C15" i="4"/>
  <c r="C10" i="4"/>
  <c r="C18" i="4"/>
  <c r="C14" i="4"/>
  <c r="C16" i="4"/>
  <c r="C5" i="4"/>
  <c r="C19" i="4"/>
  <c r="C12" i="4"/>
  <c r="C9" i="4"/>
  <c r="C13" i="4"/>
  <c r="B15" i="4"/>
  <c r="B11" i="4"/>
  <c r="B14" i="4"/>
  <c r="B5" i="4"/>
  <c r="B18" i="4"/>
  <c r="B19" i="4"/>
  <c r="B17" i="4"/>
  <c r="B16" i="4"/>
  <c r="B8" i="4"/>
  <c r="B13" i="4"/>
  <c r="B7" i="4"/>
  <c r="B12" i="4"/>
  <c r="B6" i="4"/>
  <c r="B10" i="4"/>
  <c r="B9" i="4"/>
  <c r="E3" i="4" l="1"/>
  <c r="E4" i="4" s="1"/>
  <c r="D4" i="4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F3" i="4" l="1"/>
  <c r="G3" i="4" s="1"/>
  <c r="B16" i="2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4" i="4" l="1"/>
  <c r="G4" i="4"/>
  <c r="B3" i="2"/>
  <c r="B21" i="2"/>
  <c r="B20" i="2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G7" i="4"/>
  <c r="G12" i="4"/>
  <c r="G17" i="4"/>
  <c r="G13" i="4"/>
  <c r="G19" i="4"/>
  <c r="G18" i="4"/>
  <c r="G10" i="4"/>
  <c r="G15" i="4"/>
  <c r="G16" i="4"/>
  <c r="G8" i="4"/>
  <c r="G9" i="4"/>
  <c r="G5" i="4"/>
  <c r="G6" i="4"/>
  <c r="G14" i="4"/>
  <c r="G11" i="4"/>
  <c r="F5" i="4"/>
  <c r="F12" i="4"/>
  <c r="F9" i="4"/>
  <c r="F7" i="4"/>
  <c r="F6" i="4"/>
  <c r="F14" i="4"/>
  <c r="F13" i="4"/>
  <c r="F11" i="4"/>
  <c r="F8" i="4"/>
  <c r="F16" i="4"/>
  <c r="F15" i="4"/>
  <c r="F17" i="4"/>
  <c r="F10" i="4"/>
  <c r="F18" i="4"/>
  <c r="F19" i="4"/>
  <c r="E11" i="4"/>
  <c r="E12" i="4"/>
  <c r="E15" i="4"/>
  <c r="E16" i="4"/>
  <c r="E14" i="4"/>
  <c r="E17" i="4"/>
  <c r="E9" i="4"/>
  <c r="E8" i="4"/>
  <c r="E10" i="4"/>
  <c r="E13" i="4"/>
  <c r="E5" i="4"/>
  <c r="D5" i="4"/>
  <c r="D9" i="4"/>
  <c r="D17" i="4"/>
  <c r="D18" i="4"/>
  <c r="D19" i="4"/>
  <c r="D8" i="4"/>
  <c r="D10" i="4"/>
  <c r="E19" i="4"/>
  <c r="E18" i="4"/>
  <c r="D12" i="4"/>
  <c r="E7" i="4"/>
  <c r="E6" i="4"/>
  <c r="D15" i="4"/>
  <c r="D16" i="4"/>
  <c r="D14" i="4"/>
  <c r="D11" i="4"/>
  <c r="D13" i="4"/>
</calcChain>
</file>

<file path=xl/sharedStrings.xml><?xml version="1.0" encoding="utf-8"?>
<sst xmlns="http://schemas.openxmlformats.org/spreadsheetml/2006/main" count="1039" uniqueCount="313">
  <si>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</si>
  <si>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</si>
  <si>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</si>
  <si>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</si>
  <si>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</si>
  <si>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</si>
  <si>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</si>
  <si>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</si>
  <si>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</si>
  <si>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</si>
  <si>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</si>
  <si>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</si>
  <si>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</si>
  <si>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</si>
  <si>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</si>
  <si>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</si>
  <si>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</si>
  <si>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</si>
  <si>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</si>
  <si>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</si>
  <si>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</si>
  <si>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</si>
  <si>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</si>
  <si>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</si>
  <si>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</si>
  <si>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</si>
  <si>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</si>
  <si>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</si>
  <si>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</si>
  <si>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</si>
  <si>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</si>
  <si>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</si>
  <si>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</si>
  <si>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</si>
  <si>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</si>
  <si>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</si>
  <si>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</si>
  <si>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</si>
  <si>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</si>
  <si>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</si>
  <si>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</si>
  <si>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</si>
  <si>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</si>
  <si>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</si>
  <si>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</si>
  <si>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</si>
  <si>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</si>
  <si>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</si>
  <si>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</si>
  <si>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</si>
  <si>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</si>
  <si>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</si>
  <si>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</si>
  <si>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</si>
  <si>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</si>
  <si>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</si>
  <si>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</si>
  <si>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</si>
  <si>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</si>
  <si>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</si>
  <si>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</si>
  <si>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</si>
  <si>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</si>
  <si>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</si>
  <si>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</si>
  <si>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</si>
  <si>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</si>
  <si>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</si>
  <si>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</si>
  <si>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</si>
  <si>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</si>
  <si>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</si>
  <si>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</si>
  <si>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</si>
  <si>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</si>
  <si>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</si>
  <si>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</si>
  <si>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</si>
  <si>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</si>
  <si>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</si>
  <si>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</si>
  <si>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</si>
  <si>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</si>
  <si>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</si>
  <si>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</si>
  <si>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</si>
  <si>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</si>
  <si>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</si>
  <si>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</si>
  <si>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</si>
  <si>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</si>
  <si>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</si>
  <si>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</si>
  <si>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</si>
  <si>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</si>
  <si>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</si>
  <si>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</si>
  <si>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</si>
  <si>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</si>
  <si>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</si>
  <si>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</si>
  <si>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</si>
  <si>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</si>
  <si>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</si>
  <si>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</si>
  <si>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</si>
  <si>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</si>
  <si>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</si>
  <si>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</si>
  <si>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</si>
  <si>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</si>
  <si>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</si>
  <si>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</si>
  <si>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</si>
  <si>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</si>
  <si>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</si>
  <si>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</si>
  <si>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</si>
  <si>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</si>
  <si>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</si>
  <si>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</si>
  <si>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</si>
  <si>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</si>
  <si>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</si>
  <si>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</si>
  <si>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</si>
  <si>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</si>
  <si>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</si>
  <si>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</si>
  <si>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</si>
  <si>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</si>
  <si>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</si>
  <si>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</si>
  <si>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</si>
  <si>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</si>
  <si>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</si>
  <si>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</si>
  <si>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</si>
  <si>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</si>
  <si>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</si>
  <si>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</si>
  <si>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</si>
  <si>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</si>
  <si>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</si>
  <si>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</si>
  <si>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</si>
  <si>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</si>
  <si>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</si>
  <si>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</si>
  <si>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</si>
  <si>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</si>
  <si>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</si>
  <si>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</si>
  <si>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</si>
  <si>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</si>
  <si>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</si>
  <si>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</si>
  <si>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</si>
  <si>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</si>
  <si>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</si>
  <si>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</si>
  <si>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</si>
  <si>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</si>
  <si>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</si>
  <si>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</si>
  <si>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</si>
  <si>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</si>
  <si>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</si>
  <si>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</si>
  <si>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</si>
  <si>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</si>
  <si>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</si>
  <si>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</si>
  <si>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</si>
  <si>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</si>
  <si>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</si>
  <si>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</si>
  <si>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</si>
  <si>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</si>
  <si>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</si>
  <si>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</si>
  <si>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</si>
  <si>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</si>
  <si>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</si>
  <si>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</si>
  <si>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</si>
  <si>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</si>
  <si>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</si>
  <si>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</si>
  <si>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</si>
  <si>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</si>
  <si>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</si>
  <si>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</si>
  <si>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</si>
  <si>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</si>
  <si>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</si>
  <si>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</si>
  <si>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</si>
  <si>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</si>
  <si>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</si>
  <si>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</si>
  <si>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</si>
  <si>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</si>
  <si>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</si>
  <si>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</si>
  <si>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</si>
  <si>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</si>
  <si>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</si>
  <si>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</si>
  <si>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</si>
  <si>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</si>
  <si>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</si>
  <si>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</si>
  <si>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</si>
  <si>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</si>
  <si>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</si>
  <si>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</si>
  <si>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</si>
  <si>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</si>
  <si>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</si>
  <si>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</si>
  <si>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</si>
  <si>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</si>
  <si>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</si>
  <si>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</si>
  <si>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</si>
  <si>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</si>
  <si>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</si>
  <si>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</si>
  <si>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</si>
  <si>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</si>
  <si>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</si>
  <si>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</si>
  <si>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</si>
  <si>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</si>
  <si>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</si>
  <si>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</si>
  <si>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</si>
  <si>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</si>
  <si>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</si>
  <si>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</si>
  <si>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</si>
  <si>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</si>
  <si>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</si>
  <si>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</si>
  <si>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</si>
  <si>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</si>
  <si>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</si>
  <si>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</si>
  <si>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01:00</t>
  </si>
  <si>
    <t>Não</t>
  </si>
  <si>
    <t>32131</t>
  </si>
  <si>
    <t>2131</t>
  </si>
  <si>
    <t>ewe</t>
  </si>
  <si>
    <t>432432</t>
  </si>
  <si>
    <t>5353/4534</t>
  </si>
  <si>
    <t>534/3</t>
  </si>
  <si>
    <t>423/0</t>
  </si>
  <si>
    <t>Data Limite para entrega:</t>
  </si>
  <si>
    <t>Certificado /Relatório</t>
  </si>
  <si>
    <t>6456</t>
  </si>
  <si>
    <t>534534</t>
  </si>
  <si>
    <t/>
  </si>
  <si>
    <t>3123</t>
  </si>
  <si>
    <t>31231</t>
  </si>
  <si>
    <t>01:15</t>
  </si>
  <si>
    <t>eqwew</t>
  </si>
  <si>
    <t>eqwe</t>
  </si>
  <si>
    <t>ewda</t>
  </si>
  <si>
    <t>dasda</t>
  </si>
  <si>
    <t>dsa</t>
  </si>
  <si>
    <t>04:00</t>
  </si>
  <si>
    <t>asd</t>
  </si>
  <si>
    <t>asda</t>
  </si>
  <si>
    <t>05:00</t>
  </si>
  <si>
    <t>dasdas</t>
  </si>
  <si>
    <t>das</t>
  </si>
  <si>
    <t>10:00</t>
  </si>
  <si>
    <t>sadasda</t>
  </si>
  <si>
    <t>dasd</t>
  </si>
  <si>
    <t>sdasd</t>
  </si>
  <si>
    <t>dasdsa</t>
  </si>
  <si>
    <t>asdada</t>
  </si>
  <si>
    <t>dadsa</t>
  </si>
  <si>
    <t>da</t>
  </si>
  <si>
    <t>sada</t>
  </si>
  <si>
    <t>eqweq</t>
  </si>
  <si>
    <t>ewqeqw</t>
  </si>
  <si>
    <t>eq</t>
  </si>
  <si>
    <t>eqw</t>
  </si>
  <si>
    <t>kdahsiduan</t>
  </si>
  <si>
    <t>dmasnkjd</t>
  </si>
  <si>
    <t>02:00</t>
  </si>
  <si>
    <t>dasdsda</t>
  </si>
  <si>
    <t>dsdsa</t>
  </si>
  <si>
    <t>gkuyf</t>
  </si>
  <si>
    <t>fuyf</t>
  </si>
  <si>
    <t>yuufuyf</t>
  </si>
  <si>
    <t>yvcyjg</t>
  </si>
  <si>
    <t>jbdsaoiusds</t>
  </si>
  <si>
    <t>jdasnpin</t>
  </si>
  <si>
    <t>asjkfhk</t>
  </si>
  <si>
    <t>daslkh</t>
  </si>
  <si>
    <t>dasdasd</t>
  </si>
  <si>
    <t>asdsa</t>
  </si>
  <si>
    <t>asdas</t>
  </si>
  <si>
    <t>dsad</t>
  </si>
  <si>
    <t>adsd</t>
  </si>
  <si>
    <t>Ano</t>
  </si>
  <si>
    <t>Semana</t>
  </si>
  <si>
    <t>Escolha uma semana:</t>
  </si>
  <si>
    <t>Hora</t>
  </si>
  <si>
    <t>Escolha um laboratório: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</si>
</sst>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  <xf numFmtId="0" fontId="1" fillId="6" borderId="0" xfId="0" applyNumberFormat="1" applyFont="1" applyFill="1" applyBorder="1" applyAlignment="1">
      <alignment horizontal="left" vertical="center" wrapText="1" indent="1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7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6"/>
      <tableStyleElement type="headerRow" dxfId="5"/>
      <tableStyleElement type="firstColumn" dxfId="4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346823</xdr:colOff>
      <xdr:row>0</xdr:row>
      <xdr:rowOff>0</xdr:rowOff>
    </xdr:from>
    <xdr:to>
      <xdr:col>1</xdr:col>
      <xdr:colOff>1109383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6823" y="0"/>
          <a:ext cx="168144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zoomScale="85" zoomScaleNormal="85" workbookViewId="0">
      <pane ySplit="2" topLeftCell="A3" activePane="bottomLeft" state="frozen"/>
      <selection pane="bottomLeft" activeCell="J7" sqref="J7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13">
        <f ca="1">NOW()</f>
        <v>42983.05454409722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258</v>
      </c>
      <c r="M2" s="14" t="s">
        <v>259</v>
      </c>
      <c r="N2" s="14" t="s">
        <v>15</v>
      </c>
    </row>
    <row r="3" spans="1:15" x14ac:dyDescent="0.2">
      <c r="A3" t="s">
        <v>251</v>
      </c>
      <c r="B3" t="str">
        <f>IF(A3="","",IF(E3="","NÃO CHEGOU",IF(K3&gt;$N$1,"AGUARDANDO NO LABORATORIO",IF(M3="","ATRASADO","FINALIZADO"))))</f>
        <v>NÃO CHEGOU</v>
      </c>
      <c r="C3" t="s">
        <v>250</v>
      </c>
      <c r="D3" s="12" t="s">
        <v>255</v>
      </c>
      <c r="F3" t="s">
        <v>20</v>
      </c>
      <c r="G3" s="10" t="s">
        <v>249</v>
      </c>
      <c r="H3" t="s">
        <v>242</v>
      </c>
      <c r="I3" t="s">
        <v>233</v>
      </c>
      <c r="J3" s="11">
        <v>42977.333333333336</v>
      </c>
      <c r="K3" s="11">
        <f t="shared" ref="K3:K67" si="0">IF(A3="","",J3+G3)</f>
        <v>42977.375</v>
      </c>
      <c r="O3" s="12"/>
    </row>
    <row r="4" spans="1:15" x14ac:dyDescent="0.2">
      <c r="A4" t="s">
        <v>252</v>
      </c>
      <c r="B4" t="str">
        <f t="shared" ref="B4:B67" si="1">IF(A4="","",IF(E4="","NÃO CHEGOU",IF(K4&gt;$N$1,"AGUARDANDO NO LABORATORIO",IF(M4="","ATRASADO","FINALIZADO"))))</f>
        <v>NÃO CHEGOU</v>
      </c>
      <c r="C4" t="s">
        <v>250</v>
      </c>
      <c r="D4" s="12" t="s">
        <v>256</v>
      </c>
      <c r="F4" t="s">
        <v>20</v>
      </c>
      <c r="G4" s="10" t="s">
        <v>249</v>
      </c>
      <c r="H4" t="s">
        <v>242</v>
      </c>
      <c r="I4" t="s">
        <v>233</v>
      </c>
      <c r="J4" s="11">
        <v>42977.416666666664</v>
      </c>
      <c r="K4" s="11">
        <f t="shared" si="0"/>
        <v>42977.458333333328</v>
      </c>
    </row>
    <row r="5" spans="1:15" x14ac:dyDescent="0.2">
      <c r="A5" t="s">
        <v>253</v>
      </c>
      <c r="B5" t="str">
        <f t="shared" si="1"/>
        <v>NÃO CHEGOU</v>
      </c>
      <c r="C5" t="s">
        <v>250</v>
      </c>
      <c r="D5" s="12">
        <v>32</v>
      </c>
      <c r="F5" t="s">
        <v>22</v>
      </c>
      <c r="G5" s="10" t="s">
        <v>249</v>
      </c>
      <c r="H5" t="s">
        <v>242</v>
      </c>
      <c r="I5" t="s">
        <v>233</v>
      </c>
      <c r="J5" s="11">
        <v>42977.375</v>
      </c>
      <c r="K5" s="11">
        <f t="shared" si="0"/>
        <v>42977.416666666664</v>
      </c>
    </row>
    <row r="6" spans="1:15" x14ac:dyDescent="0.2">
      <c r="A6" t="s">
        <v>254</v>
      </c>
      <c r="B6" t="str">
        <f t="shared" si="1"/>
        <v>NÃO CHEGOU</v>
      </c>
      <c r="C6" t="s">
        <v>250</v>
      </c>
      <c r="D6" s="12" t="s">
        <v>257</v>
      </c>
      <c r="F6" t="s">
        <v>24</v>
      </c>
      <c r="G6" s="10" t="s">
        <v>249</v>
      </c>
      <c r="H6" t="s">
        <v>242</v>
      </c>
      <c r="I6" t="s">
        <v>233</v>
      </c>
      <c r="J6" s="11">
        <v>42977.458333333336</v>
      </c>
      <c r="K6" s="11">
        <f t="shared" si="0"/>
        <v>42977.5</v>
      </c>
    </row>
    <row r="7" spans="1:15" x14ac:dyDescent="0.2">
      <c r="A7" t="s">
        <v>260</v>
      </c>
      <c r="B7" t="str">
        <f t="shared" si="1"/>
        <v>NÃO CHEGOU</v>
      </c>
      <c r="C7" t="s">
        <v>250</v>
      </c>
      <c r="D7" s="12" t="s">
        <v>261</v>
      </c>
      <c r="E7" s="12" t="s">
        <v>262</v>
      </c>
      <c r="F7" t="s">
        <v>20</v>
      </c>
      <c r="G7" s="10" t="s">
        <v>249</v>
      </c>
      <c r="H7" t="s">
        <v>242</v>
      </c>
      <c r="I7" t="s">
        <v>233</v>
      </c>
      <c r="J7" s="11">
        <v>42977.541666666664</v>
      </c>
      <c r="K7" s="11">
        <f t="shared" si="0"/>
        <v>42977.583333333328</v>
      </c>
    </row>
    <row r="8" spans="1:15" x14ac:dyDescent="0.2">
      <c r="A8" t="s">
        <v>263</v>
      </c>
      <c r="B8" t="str">
        <f t="shared" si="1"/>
        <v>NÃO CHEGOU</v>
      </c>
      <c r="C8" t="s">
        <v>250</v>
      </c>
      <c r="D8" s="12" t="s">
        <v>264</v>
      </c>
      <c r="E8" s="12" t="s">
        <v>262</v>
      </c>
      <c r="F8" t="s">
        <v>26</v>
      </c>
      <c r="G8" s="10" t="s">
        <v>265</v>
      </c>
      <c r="H8" t="s">
        <v>243</v>
      </c>
      <c r="I8" t="s">
        <v>232</v>
      </c>
      <c r="J8" s="11">
        <v>42977.333333333336</v>
      </c>
      <c r="K8" s="11">
        <f t="shared" si="0"/>
        <v>42977.385416666672</v>
      </c>
    </row>
    <row r="9" spans="1:15" x14ac:dyDescent="0.2">
      <c r="A9" t="s">
        <v>266</v>
      </c>
      <c r="B9" t="str">
        <f t="shared" si="1"/>
        <v>NÃO CHEGOU</v>
      </c>
      <c r="C9" t="s">
        <v>250</v>
      </c>
      <c r="D9" s="12" t="s">
        <v>267</v>
      </c>
      <c r="E9" s="12" t="s">
        <v>262</v>
      </c>
      <c r="F9" t="s">
        <v>22</v>
      </c>
      <c r="G9" s="10" t="s">
        <v>249</v>
      </c>
      <c r="H9" t="s">
        <v>242</v>
      </c>
      <c r="I9" t="s">
        <v>233</v>
      </c>
      <c r="J9" s="11">
        <v>42977.583333333336</v>
      </c>
      <c r="K9" s="11">
        <f t="shared" si="0"/>
        <v>42977.625</v>
      </c>
      <c r="L9" s="11">
        <v>42982.583333333336</v>
      </c>
    </row>
    <row r="10" spans="1:15" x14ac:dyDescent="0.2">
      <c r="A10" t="s">
        <v>268</v>
      </c>
      <c r="B10" t="str">
        <f t="shared" si="1"/>
        <v>NÃO CHEGOU</v>
      </c>
      <c r="C10" t="s">
        <v>250</v>
      </c>
      <c r="D10" s="12" t="s">
        <v>269</v>
      </c>
      <c r="E10" s="12" t="s">
        <v>262</v>
      </c>
      <c r="F10" t="s">
        <v>21</v>
      </c>
      <c r="G10" s="10" t="s">
        <v>249</v>
      </c>
      <c r="H10" t="s">
        <v>242</v>
      </c>
      <c r="I10" t="s">
        <v>232</v>
      </c>
      <c r="J10" s="11">
        <v>42977.385416666664</v>
      </c>
      <c r="K10" s="11">
        <f t="shared" si="0"/>
        <v>42977.427083333328</v>
      </c>
      <c r="L10" s="11">
        <v>42982.385416666664</v>
      </c>
    </row>
    <row r="11" spans="1:15" x14ac:dyDescent="0.2">
      <c r="A11" t="s">
        <v>270</v>
      </c>
      <c r="B11" t="str">
        <f t="shared" si="1"/>
        <v>NÃO CHEGOU</v>
      </c>
      <c r="C11" t="s">
        <v>250</v>
      </c>
      <c r="D11" s="12" t="s">
        <v>269</v>
      </c>
      <c r="E11" s="12" t="s">
        <v>262</v>
      </c>
      <c r="F11" t="s">
        <v>22</v>
      </c>
      <c r="G11" s="10" t="s">
        <v>271</v>
      </c>
      <c r="H11" t="s">
        <v>242</v>
      </c>
      <c r="I11" t="s">
        <v>233</v>
      </c>
      <c r="J11" s="11">
        <v>42977.625</v>
      </c>
      <c r="K11" s="11">
        <f t="shared" si="0"/>
        <v>42977.791666666664</v>
      </c>
      <c r="L11" s="11">
        <v>42982.625</v>
      </c>
    </row>
    <row r="12" spans="1:15" x14ac:dyDescent="0.2">
      <c r="A12" t="s">
        <v>272</v>
      </c>
      <c r="B12" t="str">
        <f t="shared" si="1"/>
        <v>NÃO CHEGOU</v>
      </c>
      <c r="C12" t="s">
        <v>250</v>
      </c>
      <c r="D12" s="12" t="s">
        <v>273</v>
      </c>
      <c r="E12" s="12" t="s">
        <v>262</v>
      </c>
      <c r="F12" t="s">
        <v>22</v>
      </c>
      <c r="G12" s="10" t="s">
        <v>274</v>
      </c>
      <c r="H12" t="s">
        <v>242</v>
      </c>
      <c r="I12" t="s">
        <v>233</v>
      </c>
      <c r="J12" s="11">
        <v>42978.333333333336</v>
      </c>
      <c r="K12" s="11">
        <f t="shared" si="0"/>
        <v>42978.541666666672</v>
      </c>
      <c r="L12" s="11">
        <v>42983.333333333336</v>
      </c>
    </row>
    <row r="13" spans="1:15" x14ac:dyDescent="0.2">
      <c r="A13" t="s">
        <v>275</v>
      </c>
      <c r="B13" t="str">
        <f t="shared" si="1"/>
        <v>NÃO CHEGOU</v>
      </c>
      <c r="C13" t="s">
        <v>250</v>
      </c>
      <c r="D13" s="12" t="s">
        <v>276</v>
      </c>
      <c r="E13" s="12" t="s">
        <v>262</v>
      </c>
      <c r="F13" t="s">
        <v>20</v>
      </c>
      <c r="G13" s="10" t="s">
        <v>277</v>
      </c>
      <c r="H13" t="s">
        <v>242</v>
      </c>
      <c r="I13" t="s">
        <v>233</v>
      </c>
      <c r="J13" s="11">
        <v>42978.541666666664</v>
      </c>
      <c r="K13" s="11">
        <f t="shared" si="0"/>
        <v>42978.958333333328</v>
      </c>
      <c r="L13" s="11">
        <v>42983.541666666664</v>
      </c>
    </row>
    <row r="14" spans="1:15" x14ac:dyDescent="0.2">
      <c r="A14" t="s">
        <v>278</v>
      </c>
      <c r="B14" t="str">
        <f t="shared" si="1"/>
        <v>NÃO CHEGOU</v>
      </c>
      <c r="C14" t="s">
        <v>250</v>
      </c>
      <c r="D14" s="12" t="s">
        <v>279</v>
      </c>
      <c r="E14" s="12" t="s">
        <v>262</v>
      </c>
      <c r="F14" t="s">
        <v>20</v>
      </c>
      <c r="G14" s="10" t="s">
        <v>249</v>
      </c>
      <c r="H14" t="s">
        <v>242</v>
      </c>
      <c r="I14" t="s">
        <v>233</v>
      </c>
      <c r="J14" s="11">
        <v>42979.333333333336</v>
      </c>
      <c r="K14" s="11">
        <f t="shared" si="0"/>
        <v>42979.375</v>
      </c>
      <c r="L14" s="11">
        <v>42984.333333333336</v>
      </c>
    </row>
    <row r="15" spans="1:15" x14ac:dyDescent="0.2">
      <c r="A15" t="s">
        <v>279</v>
      </c>
      <c r="B15" t="str">
        <f t="shared" si="1"/>
        <v>NÃO CHEGOU</v>
      </c>
      <c r="C15" t="s">
        <v>250</v>
      </c>
      <c r="D15" s="12" t="s">
        <v>269</v>
      </c>
      <c r="E15" s="12" t="s">
        <v>262</v>
      </c>
      <c r="F15" t="s">
        <v>20</v>
      </c>
      <c r="G15" s="10" t="s">
        <v>274</v>
      </c>
      <c r="H15" t="s">
        <v>242</v>
      </c>
      <c r="I15" t="s">
        <v>233</v>
      </c>
      <c r="J15" s="11">
        <v>42979.375</v>
      </c>
      <c r="K15" s="11">
        <f t="shared" si="0"/>
        <v>42979.583333333336</v>
      </c>
      <c r="L15" s="11">
        <v>42984.375</v>
      </c>
    </row>
    <row r="16" spans="1:15" x14ac:dyDescent="0.2">
      <c r="A16" t="s">
        <v>280</v>
      </c>
      <c r="B16" t="str">
        <f t="shared" si="1"/>
        <v>NÃO CHEGOU</v>
      </c>
      <c r="C16" t="s">
        <v>250</v>
      </c>
      <c r="D16" s="12" t="s">
        <v>275</v>
      </c>
      <c r="E16" s="12" t="s">
        <v>262</v>
      </c>
      <c r="F16" t="s">
        <v>23</v>
      </c>
      <c r="G16" s="10" t="s">
        <v>249</v>
      </c>
      <c r="H16" t="s">
        <v>243</v>
      </c>
      <c r="I16" t="s">
        <v>232</v>
      </c>
      <c r="J16" s="11">
        <v>42977.427083333336</v>
      </c>
      <c r="K16" s="11">
        <f t="shared" si="0"/>
        <v>42977.46875</v>
      </c>
      <c r="L16" s="11">
        <v>42982.427083333336</v>
      </c>
    </row>
    <row r="17" spans="1:12" x14ac:dyDescent="0.2">
      <c r="A17" t="s">
        <v>281</v>
      </c>
      <c r="B17" t="str">
        <f t="shared" si="1"/>
        <v>NÃO CHEGOU</v>
      </c>
      <c r="C17" t="s">
        <v>250</v>
      </c>
      <c r="D17" s="12" t="s">
        <v>269</v>
      </c>
      <c r="E17" s="12" t="s">
        <v>262</v>
      </c>
      <c r="F17" t="s">
        <v>20</v>
      </c>
      <c r="G17" s="10" t="s">
        <v>274</v>
      </c>
      <c r="H17" t="s">
        <v>242</v>
      </c>
      <c r="I17" t="s">
        <v>233</v>
      </c>
      <c r="J17" s="11">
        <v>42979.583333333336</v>
      </c>
      <c r="K17" s="11">
        <f t="shared" si="0"/>
        <v>42979.791666666672</v>
      </c>
      <c r="L17" s="11">
        <v>42984.583333333336</v>
      </c>
    </row>
    <row r="18" spans="1:12" x14ac:dyDescent="0.2">
      <c r="A18" t="s">
        <v>279</v>
      </c>
      <c r="B18" t="str">
        <f t="shared" si="1"/>
        <v>NÃO CHEGOU</v>
      </c>
      <c r="C18" t="s">
        <v>250</v>
      </c>
      <c r="D18" s="12" t="s">
        <v>279</v>
      </c>
      <c r="E18" s="12" t="s">
        <v>262</v>
      </c>
      <c r="F18" t="s">
        <v>21</v>
      </c>
      <c r="G18" s="10" t="s">
        <v>274</v>
      </c>
      <c r="H18" t="s">
        <v>242</v>
      </c>
      <c r="I18" t="s">
        <v>232</v>
      </c>
      <c r="J18" s="11">
        <v>42977.541666666664</v>
      </c>
      <c r="K18" s="11">
        <f t="shared" si="0"/>
        <v>42977.75</v>
      </c>
      <c r="L18" s="11">
        <v>42982.541666666664</v>
      </c>
    </row>
    <row r="19" spans="1:12" x14ac:dyDescent="0.2">
      <c r="A19" t="s">
        <v>282</v>
      </c>
      <c r="B19" t="str">
        <f t="shared" si="1"/>
        <v>NÃO CHEGOU</v>
      </c>
      <c r="C19" t="s">
        <v>250</v>
      </c>
      <c r="D19" s="12" t="s">
        <v>275</v>
      </c>
      <c r="E19" s="12" t="s">
        <v>262</v>
      </c>
      <c r="F19" t="s">
        <v>21</v>
      </c>
      <c r="G19" s="10" t="s">
        <v>249</v>
      </c>
      <c r="H19" t="s">
        <v>242</v>
      </c>
      <c r="I19" t="s">
        <v>232</v>
      </c>
      <c r="J19" s="11">
        <v>42978.333333333336</v>
      </c>
      <c r="K19" s="11">
        <f t="shared" si="0"/>
        <v>42978.375</v>
      </c>
      <c r="L19" s="11">
        <v>42983.333333333336</v>
      </c>
    </row>
    <row r="20" spans="1:12" x14ac:dyDescent="0.2">
      <c r="A20" t="s">
        <v>279</v>
      </c>
      <c r="B20" t="str">
        <f t="shared" si="1"/>
        <v>NÃO CHEGOU</v>
      </c>
      <c r="C20" t="s">
        <v>250</v>
      </c>
      <c r="D20" s="12" t="s">
        <v>283</v>
      </c>
      <c r="F20" t="s">
        <v>20</v>
      </c>
      <c r="G20" s="10" t="s">
        <v>249</v>
      </c>
      <c r="H20" t="s">
        <v>242</v>
      </c>
      <c r="I20" t="s">
        <v>233</v>
      </c>
      <c r="J20" s="11">
        <v>42980.333333333336</v>
      </c>
      <c r="K20" s="11">
        <f t="shared" si="0"/>
        <v>42980.375</v>
      </c>
      <c r="L20" s="11">
        <v>42985.333333333336</v>
      </c>
    </row>
    <row r="21" spans="1:12" x14ac:dyDescent="0.2">
      <c r="A21" t="s">
        <v>284</v>
      </c>
      <c r="B21" t="str">
        <f t="shared" si="1"/>
        <v>NÃO CHEGOU</v>
      </c>
      <c r="C21" t="s">
        <v>250</v>
      </c>
      <c r="D21" s="12" t="s">
        <v>269</v>
      </c>
      <c r="E21" s="12" t="s">
        <v>262</v>
      </c>
      <c r="F21" t="s">
        <v>21</v>
      </c>
      <c r="G21" s="10" t="s">
        <v>249</v>
      </c>
      <c r="H21" t="s">
        <v>242</v>
      </c>
      <c r="I21" t="s">
        <v>232</v>
      </c>
      <c r="J21" s="11">
        <v>42978.375</v>
      </c>
      <c r="K21" s="11">
        <f t="shared" si="0"/>
        <v>42978.416666666664</v>
      </c>
      <c r="L21" s="11">
        <v>42983.375</v>
      </c>
    </row>
    <row r="22" spans="1:12" x14ac:dyDescent="0.2">
      <c r="A22" t="s">
        <v>279</v>
      </c>
      <c r="B22" t="str">
        <f t="shared" si="1"/>
        <v>NÃO CHEGOU</v>
      </c>
      <c r="C22" t="s">
        <v>250</v>
      </c>
      <c r="D22" s="12" t="s">
        <v>285</v>
      </c>
      <c r="E22" s="12" t="s">
        <v>262</v>
      </c>
      <c r="F22" t="s">
        <v>19</v>
      </c>
      <c r="G22" s="10" t="s">
        <v>249</v>
      </c>
      <c r="H22" t="s">
        <v>242</v>
      </c>
      <c r="I22" t="s">
        <v>232</v>
      </c>
      <c r="J22" s="11">
        <v>42978.416666666664</v>
      </c>
      <c r="K22" s="11">
        <f t="shared" si="0"/>
        <v>42978.458333333328</v>
      </c>
      <c r="L22" s="11">
        <v>42983.416666666664</v>
      </c>
    </row>
    <row r="23" spans="1:12" x14ac:dyDescent="0.2">
      <c r="A23" t="s">
        <v>286</v>
      </c>
      <c r="B23" t="str">
        <f t="shared" si="1"/>
        <v>NÃO CHEGOU</v>
      </c>
      <c r="C23" t="s">
        <v>250</v>
      </c>
      <c r="D23" s="12" t="s">
        <v>287</v>
      </c>
      <c r="E23" s="12" t="s">
        <v>262</v>
      </c>
      <c r="F23" t="s">
        <v>19</v>
      </c>
      <c r="G23" s="10" t="s">
        <v>249</v>
      </c>
      <c r="H23" t="s">
        <v>242</v>
      </c>
      <c r="I23" t="s">
        <v>232</v>
      </c>
      <c r="J23" s="11">
        <v>42978.458333333336</v>
      </c>
      <c r="K23" s="11">
        <f t="shared" si="0"/>
        <v>42978.5</v>
      </c>
      <c r="L23" s="11">
        <v>42983.458333333336</v>
      </c>
    </row>
    <row r="24" spans="1:12" x14ac:dyDescent="0.2">
      <c r="A24" t="s">
        <v>288</v>
      </c>
      <c r="B24" t="str">
        <f t="shared" si="1"/>
        <v>NÃO CHEGOU</v>
      </c>
      <c r="C24" t="s">
        <v>250</v>
      </c>
      <c r="D24" s="12" t="s">
        <v>286</v>
      </c>
      <c r="E24" s="12" t="s">
        <v>262</v>
      </c>
      <c r="F24" t="s">
        <v>21</v>
      </c>
      <c r="G24" s="10" t="s">
        <v>249</v>
      </c>
      <c r="H24" t="s">
        <v>242</v>
      </c>
      <c r="I24" t="s">
        <v>232</v>
      </c>
      <c r="J24" s="11">
        <v>42978.541666666664</v>
      </c>
      <c r="K24" s="11">
        <f t="shared" si="0"/>
        <v>42978.583333333328</v>
      </c>
      <c r="L24" s="11">
        <v>42983.541666666664</v>
      </c>
    </row>
    <row r="25" spans="1:12" x14ac:dyDescent="0.2">
      <c r="A25" t="s">
        <v>267</v>
      </c>
      <c r="B25" t="str">
        <f t="shared" si="1"/>
        <v>NÃO CHEGOU</v>
      </c>
      <c r="C25" t="s">
        <v>250</v>
      </c>
      <c r="D25" s="12" t="s">
        <v>289</v>
      </c>
      <c r="E25" s="12" t="s">
        <v>262</v>
      </c>
      <c r="F25" t="s">
        <v>21</v>
      </c>
      <c r="G25" s="10">
        <v>0.16666666666666666</v>
      </c>
      <c r="H25" t="s">
        <v>242</v>
      </c>
      <c r="I25" t="s">
        <v>232</v>
      </c>
      <c r="J25" s="11">
        <v>42978.583333333336</v>
      </c>
      <c r="K25" s="11">
        <f t="shared" si="0"/>
        <v>42978.75</v>
      </c>
      <c r="L25" s="11">
        <v>42983.583333333336</v>
      </c>
    </row>
    <row r="26" spans="1:12" x14ac:dyDescent="0.2">
      <c r="A26" t="s">
        <v>267</v>
      </c>
      <c r="B26" t="str">
        <f t="shared" si="1"/>
        <v>NÃO CHEGOU</v>
      </c>
      <c r="C26" t="s">
        <v>250</v>
      </c>
      <c r="D26" s="12" t="s">
        <v>289</v>
      </c>
      <c r="E26" s="12" t="s">
        <v>262</v>
      </c>
      <c r="F26" t="s">
        <v>21</v>
      </c>
      <c r="G26" s="10">
        <v>0.16666666666666666</v>
      </c>
      <c r="H26" t="s">
        <v>242</v>
      </c>
      <c r="I26" t="s">
        <v>232</v>
      </c>
      <c r="J26" s="11">
        <v>42979.333333333336</v>
      </c>
      <c r="K26" s="11">
        <f t="shared" si="0"/>
        <v>42979.5</v>
      </c>
      <c r="L26" s="11">
        <v>42984.333333333336</v>
      </c>
    </row>
    <row r="27" spans="1:12" x14ac:dyDescent="0.2">
      <c r="A27" t="s">
        <v>267</v>
      </c>
      <c r="B27" t="str">
        <f t="shared" si="1"/>
        <v>NÃO CHEGOU</v>
      </c>
      <c r="C27" t="s">
        <v>250</v>
      </c>
      <c r="D27" s="12" t="s">
        <v>289</v>
      </c>
      <c r="E27" s="12" t="s">
        <v>262</v>
      </c>
      <c r="F27" t="s">
        <v>21</v>
      </c>
      <c r="G27" s="10">
        <v>0.16666666666666666</v>
      </c>
      <c r="H27" t="s">
        <v>242</v>
      </c>
      <c r="I27" t="s">
        <v>232</v>
      </c>
      <c r="J27" s="11">
        <v>42980.333333333336</v>
      </c>
      <c r="K27" s="11">
        <f t="shared" si="0"/>
        <v>42980.5</v>
      </c>
      <c r="L27" s="11">
        <v>42985.333333333336</v>
      </c>
    </row>
    <row r="28" spans="1:12" x14ac:dyDescent="0.2">
      <c r="A28" t="s">
        <v>267</v>
      </c>
      <c r="B28" t="str">
        <f t="shared" si="1"/>
        <v>NÃO CHEGOU</v>
      </c>
      <c r="C28" t="s">
        <v>250</v>
      </c>
      <c r="D28" s="12" t="s">
        <v>289</v>
      </c>
      <c r="E28" s="12" t="s">
        <v>262</v>
      </c>
      <c r="F28" t="s">
        <v>21</v>
      </c>
      <c r="G28" s="10">
        <v>0.16666666666666666</v>
      </c>
      <c r="H28" t="s">
        <v>242</v>
      </c>
      <c r="I28" t="s">
        <v>232</v>
      </c>
      <c r="J28" s="11">
        <v>42981.333333333336</v>
      </c>
      <c r="K28" s="11">
        <f t="shared" si="0"/>
        <v>42981.5</v>
      </c>
      <c r="L28" s="11">
        <v>42986.333333333336</v>
      </c>
    </row>
    <row r="29" spans="1:12" x14ac:dyDescent="0.2">
      <c r="A29" t="s">
        <v>267</v>
      </c>
      <c r="B29" t="str">
        <f t="shared" si="1"/>
        <v>NÃO CHEGOU</v>
      </c>
      <c r="C29" t="s">
        <v>250</v>
      </c>
      <c r="D29" s="12" t="s">
        <v>289</v>
      </c>
      <c r="E29" s="12" t="s">
        <v>262</v>
      </c>
      <c r="F29" t="s">
        <v>21</v>
      </c>
      <c r="G29" s="10">
        <v>0.16666666666666666</v>
      </c>
      <c r="H29" t="s">
        <v>242</v>
      </c>
      <c r="I29" t="s">
        <v>232</v>
      </c>
      <c r="J29" s="11">
        <v>42981.541666666664</v>
      </c>
      <c r="K29" s="11">
        <f t="shared" si="0"/>
        <v>42981.708333333328</v>
      </c>
      <c r="L29" s="11">
        <v>42986.541666666664</v>
      </c>
    </row>
    <row r="30" spans="1:12" x14ac:dyDescent="0.2">
      <c r="A30" t="s">
        <v>290</v>
      </c>
      <c r="B30" t="str">
        <f t="shared" si="1"/>
        <v>NÃO CHEGOU</v>
      </c>
      <c r="C30" t="s">
        <v>250</v>
      </c>
      <c r="D30" s="12" t="s">
        <v>291</v>
      </c>
      <c r="E30" s="12" t="s">
        <v>262</v>
      </c>
      <c r="F30" t="s">
        <v>17</v>
      </c>
      <c r="G30" s="10">
        <v>0.16666666666666666</v>
      </c>
      <c r="H30" t="s">
        <v>242</v>
      </c>
      <c r="I30" t="s">
        <v>232</v>
      </c>
      <c r="J30" s="11">
        <v>42982.333333333336</v>
      </c>
      <c r="K30" s="11">
        <f t="shared" si="0"/>
        <v>42982.5</v>
      </c>
      <c r="L30" s="11">
        <v>42987.333333333336</v>
      </c>
    </row>
    <row r="31" spans="1:12" x14ac:dyDescent="0.2">
      <c r="A31" t="s">
        <v>290</v>
      </c>
      <c r="B31" t="str">
        <f t="shared" si="1"/>
        <v>NÃO CHEGOU</v>
      </c>
      <c r="C31" t="s">
        <v>250</v>
      </c>
      <c r="D31" s="12" t="s">
        <v>291</v>
      </c>
      <c r="E31" s="12" t="s">
        <v>262</v>
      </c>
      <c r="F31" t="s">
        <v>17</v>
      </c>
      <c r="G31" s="10">
        <v>0.16666666666666666</v>
      </c>
      <c r="H31" t="s">
        <v>242</v>
      </c>
      <c r="I31" t="s">
        <v>232</v>
      </c>
      <c r="J31" s="11">
        <v>42983.333333333336</v>
      </c>
      <c r="K31" s="11">
        <f t="shared" si="0"/>
        <v>42983.5</v>
      </c>
      <c r="L31" s="11">
        <v>42988.333333333336</v>
      </c>
    </row>
    <row r="32" spans="1:12" x14ac:dyDescent="0.2">
      <c r="A32" t="s">
        <v>290</v>
      </c>
      <c r="B32" t="str">
        <f t="shared" si="1"/>
        <v>NÃO CHEGOU</v>
      </c>
      <c r="C32" t="s">
        <v>250</v>
      </c>
      <c r="D32" s="12" t="s">
        <v>291</v>
      </c>
      <c r="E32" s="12" t="s">
        <v>262</v>
      </c>
      <c r="F32" t="s">
        <v>17</v>
      </c>
      <c r="G32" s="10" t="s">
        <v>292</v>
      </c>
      <c r="H32" t="s">
        <v>242</v>
      </c>
      <c r="I32" t="s">
        <v>232</v>
      </c>
      <c r="J32" s="11">
        <v>42983.541666666664</v>
      </c>
      <c r="K32" s="11">
        <f t="shared" si="0"/>
        <v>42983.625</v>
      </c>
      <c r="L32" s="11">
        <v>42988.541666666664</v>
      </c>
    </row>
    <row r="33" spans="1:12" x14ac:dyDescent="0.2">
      <c r="A33" t="s">
        <v>293</v>
      </c>
      <c r="B33" t="str">
        <f t="shared" si="1"/>
        <v>NÃO CHEGOU</v>
      </c>
      <c r="C33" t="s">
        <v>250</v>
      </c>
      <c r="D33" s="12" t="s">
        <v>294</v>
      </c>
      <c r="E33" s="12" t="s">
        <v>262</v>
      </c>
      <c r="F33" t="s">
        <v>19</v>
      </c>
      <c r="G33" s="10">
        <v>0.16666666666666666</v>
      </c>
      <c r="H33" t="s">
        <v>242</v>
      </c>
      <c r="I33" t="s">
        <v>232</v>
      </c>
      <c r="J33" s="11">
        <v>42983.625</v>
      </c>
      <c r="K33" s="11">
        <f t="shared" si="0"/>
        <v>42983.791666666664</v>
      </c>
      <c r="L33" s="11">
        <v>42988.625</v>
      </c>
    </row>
    <row r="34" spans="1:12" x14ac:dyDescent="0.2">
      <c r="A34" t="s">
        <v>293</v>
      </c>
      <c r="B34" t="str">
        <f t="shared" si="1"/>
        <v>NÃO CHEGOU</v>
      </c>
      <c r="C34" t="s">
        <v>250</v>
      </c>
      <c r="D34" s="12" t="s">
        <v>294</v>
      </c>
      <c r="E34" s="12" t="s">
        <v>262</v>
      </c>
      <c r="F34" t="s">
        <v>19</v>
      </c>
      <c r="G34" s="10">
        <v>0.16666666666666666</v>
      </c>
      <c r="H34" t="s">
        <v>242</v>
      </c>
      <c r="I34" t="s">
        <v>232</v>
      </c>
      <c r="J34" s="11">
        <v>42984.333333333336</v>
      </c>
      <c r="K34" s="11">
        <f t="shared" si="0"/>
        <v>42984.5</v>
      </c>
      <c r="L34" s="11">
        <v>42989.333333333336</v>
      </c>
    </row>
    <row r="35" spans="1:12" x14ac:dyDescent="0.2">
      <c r="A35" t="s">
        <v>295</v>
      </c>
      <c r="B35" t="str">
        <f t="shared" si="1"/>
        <v>NÃO CHEGOU</v>
      </c>
      <c r="C35" t="s">
        <v>250</v>
      </c>
      <c r="D35" s="12" t="s">
        <v>296</v>
      </c>
      <c r="E35" s="12" t="s">
        <v>262</v>
      </c>
      <c r="F35" t="s">
        <v>19</v>
      </c>
      <c r="G35" s="10">
        <v>4.1666666666666664E-2</v>
      </c>
      <c r="H35" t="s">
        <v>242</v>
      </c>
      <c r="I35" t="s">
        <v>232</v>
      </c>
      <c r="J35" s="11">
        <v>42984.541666666664</v>
      </c>
      <c r="K35" s="11">
        <f t="shared" si="0"/>
        <v>42984.583333333328</v>
      </c>
      <c r="L35" s="11">
        <v>42989.541666666664</v>
      </c>
    </row>
    <row r="36" spans="1:12" x14ac:dyDescent="0.2">
      <c r="A36" t="s">
        <v>297</v>
      </c>
      <c r="B36" t="str">
        <f t="shared" si="1"/>
        <v>NÃO CHEGOU</v>
      </c>
      <c r="C36" t="s">
        <v>250</v>
      </c>
      <c r="D36" s="12" t="s">
        <v>298</v>
      </c>
      <c r="E36" s="12" t="s">
        <v>262</v>
      </c>
      <c r="F36" t="s">
        <v>19</v>
      </c>
      <c r="G36" s="10">
        <v>0.16666666666666666</v>
      </c>
      <c r="H36" t="s">
        <v>242</v>
      </c>
      <c r="I36" t="s">
        <v>232</v>
      </c>
      <c r="J36" s="11">
        <v>42984.583333333336</v>
      </c>
      <c r="K36" s="11">
        <f t="shared" si="0"/>
        <v>42984.75</v>
      </c>
      <c r="L36" s="11">
        <v>42989.583333333336</v>
      </c>
    </row>
    <row r="37" spans="1:12" x14ac:dyDescent="0.2">
      <c r="A37" t="s">
        <v>297</v>
      </c>
      <c r="B37" t="str">
        <f t="shared" si="1"/>
        <v>NÃO CHEGOU</v>
      </c>
      <c r="C37" t="s">
        <v>250</v>
      </c>
      <c r="D37" s="12" t="s">
        <v>298</v>
      </c>
      <c r="E37" s="12" t="s">
        <v>262</v>
      </c>
      <c r="F37" t="s">
        <v>19</v>
      </c>
      <c r="G37" s="10">
        <v>4.1666666666666664E-2</v>
      </c>
      <c r="H37" t="s">
        <v>242</v>
      </c>
      <c r="I37" t="s">
        <v>232</v>
      </c>
      <c r="J37" s="11">
        <v>42985.333333333336</v>
      </c>
      <c r="K37" s="11">
        <f t="shared" si="0"/>
        <v>42985.375</v>
      </c>
      <c r="L37" s="11">
        <v>42990.333333333336</v>
      </c>
    </row>
    <row r="38" spans="1:12" x14ac:dyDescent="0.2">
      <c r="A38" t="s">
        <v>299</v>
      </c>
      <c r="B38" t="str">
        <f t="shared" si="1"/>
        <v>NÃO CHEGOU</v>
      </c>
      <c r="C38" t="s">
        <v>250</v>
      </c>
      <c r="D38" s="12" t="s">
        <v>300</v>
      </c>
      <c r="E38" s="12" t="s">
        <v>262</v>
      </c>
      <c r="F38" t="s">
        <v>21</v>
      </c>
      <c r="G38" s="10">
        <v>0.16666666666666666</v>
      </c>
      <c r="H38" t="s">
        <v>242</v>
      </c>
      <c r="I38" t="s">
        <v>232</v>
      </c>
      <c r="J38" s="11">
        <v>42985.541666666664</v>
      </c>
      <c r="K38" s="11">
        <f t="shared" si="0"/>
        <v>42985.708333333328</v>
      </c>
      <c r="L38" s="11">
        <v>42990.541666666664</v>
      </c>
    </row>
    <row r="39" spans="1:12" x14ac:dyDescent="0.2">
      <c r="A39" t="s">
        <v>299</v>
      </c>
      <c r="B39" t="str">
        <f t="shared" si="1"/>
        <v>NÃO CHEGOU</v>
      </c>
      <c r="C39" t="s">
        <v>250</v>
      </c>
      <c r="D39" s="12" t="s">
        <v>300</v>
      </c>
      <c r="E39" s="12" t="s">
        <v>262</v>
      </c>
      <c r="F39" t="s">
        <v>21</v>
      </c>
      <c r="G39" s="10">
        <v>0.16666666666666666</v>
      </c>
      <c r="H39" t="s">
        <v>242</v>
      </c>
      <c r="I39" t="s">
        <v>232</v>
      </c>
      <c r="J39" s="11">
        <v>42986.333333333336</v>
      </c>
      <c r="K39" s="11">
        <f t="shared" si="0"/>
        <v>42986.5</v>
      </c>
      <c r="L39" s="11">
        <v>42991.333333333336</v>
      </c>
    </row>
    <row r="40" spans="1:12" x14ac:dyDescent="0.2">
      <c r="A40" t="s">
        <v>280</v>
      </c>
      <c r="B40" t="str">
        <f t="shared" si="1"/>
        <v>NÃO CHEGOU</v>
      </c>
      <c r="C40" t="s">
        <v>250</v>
      </c>
      <c r="D40" s="12" t="s">
        <v>279</v>
      </c>
      <c r="E40" s="12" t="s">
        <v>262</v>
      </c>
      <c r="F40" t="s">
        <v>22</v>
      </c>
      <c r="G40" s="10">
        <v>4.1666666666666664E-2</v>
      </c>
      <c r="H40" t="s">
        <v>242</v>
      </c>
      <c r="I40" t="s">
        <v>233</v>
      </c>
      <c r="J40" s="11">
        <v>42980.375</v>
      </c>
      <c r="K40" s="11">
        <f t="shared" si="0"/>
        <v>42980.416666666664</v>
      </c>
      <c r="L40" s="11">
        <v>42985.375</v>
      </c>
    </row>
    <row r="41" spans="1:12" x14ac:dyDescent="0.2">
      <c r="A41" t="s">
        <v>303</v>
      </c>
      <c r="B41" t="str">
        <f t="shared" si="1"/>
        <v>NÃO CHEGOU</v>
      </c>
      <c r="C41" t="s">
        <v>250</v>
      </c>
      <c r="D41" s="12" t="s">
        <v>304</v>
      </c>
      <c r="E41" s="12" t="s">
        <v>262</v>
      </c>
      <c r="F41" t="s">
        <v>21</v>
      </c>
      <c r="G41" s="10">
        <v>4.1666666666666664E-2</v>
      </c>
      <c r="H41" t="s">
        <v>242</v>
      </c>
      <c r="I41" t="s">
        <v>232</v>
      </c>
      <c r="J41" s="11">
        <v>42986.541666666664</v>
      </c>
      <c r="K41" s="11">
        <f t="shared" si="0"/>
        <v>42986.583333333328</v>
      </c>
      <c r="L41" s="11">
        <v>42991.541666666664</v>
      </c>
    </row>
    <row r="42" spans="1:12" x14ac:dyDescent="0.2">
      <c r="A42" t="s">
        <v>301</v>
      </c>
      <c r="B42" t="str">
        <f t="shared" si="1"/>
        <v>NÃO CHEGOU</v>
      </c>
      <c r="C42" t="s">
        <v>250</v>
      </c>
      <c r="D42" s="12" t="s">
        <v>302</v>
      </c>
      <c r="E42" s="12" t="s">
        <v>262</v>
      </c>
      <c r="F42" t="s">
        <v>20</v>
      </c>
      <c r="G42" s="10">
        <v>0.16666666666666666</v>
      </c>
      <c r="H42" t="s">
        <v>242</v>
      </c>
      <c r="I42" t="s">
        <v>233</v>
      </c>
      <c r="J42" s="11">
        <v>42982.333333333336</v>
      </c>
      <c r="K42" s="11">
        <f t="shared" si="0"/>
        <v>42982.5</v>
      </c>
      <c r="L42" s="11">
        <v>42987.333333333336</v>
      </c>
    </row>
    <row r="43" spans="1:12" x14ac:dyDescent="0.2">
      <c r="A43" t="s">
        <v>305</v>
      </c>
      <c r="B43" t="str">
        <f t="shared" si="1"/>
        <v>NÃO CHEGOU</v>
      </c>
      <c r="C43" t="s">
        <v>250</v>
      </c>
      <c r="D43" s="12" t="s">
        <v>269</v>
      </c>
      <c r="E43" s="12" t="s">
        <v>262</v>
      </c>
      <c r="F43" t="s">
        <v>22</v>
      </c>
      <c r="G43" s="10">
        <v>0.16666666666666666</v>
      </c>
      <c r="H43" t="s">
        <v>242</v>
      </c>
      <c r="I43" t="s">
        <v>233</v>
      </c>
      <c r="J43" s="11">
        <v>42982.541666666664</v>
      </c>
      <c r="K43" s="11">
        <f t="shared" si="0"/>
        <v>42982.708333333328</v>
      </c>
      <c r="L43" s="11">
        <v>42987.541666666664</v>
      </c>
    </row>
    <row r="44" spans="1:12" x14ac:dyDescent="0.2">
      <c r="A44" t="s">
        <v>305</v>
      </c>
      <c r="B44" t="str">
        <f t="shared" si="1"/>
        <v>NÃO CHEGOU</v>
      </c>
      <c r="C44" t="s">
        <v>250</v>
      </c>
      <c r="D44" s="12" t="s">
        <v>269</v>
      </c>
      <c r="E44" s="12" t="s">
        <v>262</v>
      </c>
      <c r="F44" t="s">
        <v>22</v>
      </c>
      <c r="G44" s="10">
        <v>0.16666666666666666</v>
      </c>
      <c r="H44" t="s">
        <v>242</v>
      </c>
      <c r="I44" t="s">
        <v>233</v>
      </c>
      <c r="J44" s="11">
        <v>42983.333333333336</v>
      </c>
      <c r="K44" s="11">
        <f t="shared" si="0"/>
        <v>42983.5</v>
      </c>
      <c r="L44" s="11">
        <v>42988.333333333336</v>
      </c>
    </row>
    <row r="45" spans="1:12" x14ac:dyDescent="0.2">
      <c r="A45" t="s">
        <v>306</v>
      </c>
      <c r="B45" t="str">
        <f t="shared" si="1"/>
        <v>NÃO CHEGOU</v>
      </c>
      <c r="C45" t="s">
        <v>250</v>
      </c>
      <c r="D45" s="12" t="s">
        <v>307</v>
      </c>
      <c r="E45" s="12" t="s">
        <v>262</v>
      </c>
      <c r="F45" t="s">
        <v>19</v>
      </c>
      <c r="G45" s="10">
        <v>0.16666666666666666</v>
      </c>
      <c r="H45" t="s">
        <v>242</v>
      </c>
      <c r="I45" t="s">
        <v>232</v>
      </c>
      <c r="J45" s="11">
        <v>42987.333333333336</v>
      </c>
      <c r="K45" s="11">
        <f t="shared" si="0"/>
        <v>42987.5</v>
      </c>
      <c r="L45" s="11">
        <v>42992.333333333336</v>
      </c>
    </row>
    <row r="46" spans="1:12" x14ac:dyDescent="0.2">
      <c r="A46" t="s">
        <v>306</v>
      </c>
      <c r="B46" t="str">
        <f t="shared" si="1"/>
        <v>NÃO CHEGOU</v>
      </c>
      <c r="C46" t="s">
        <v>250</v>
      </c>
      <c r="D46" s="12" t="s">
        <v>307</v>
      </c>
      <c r="E46" s="12" t="s">
        <v>262</v>
      </c>
      <c r="F46" t="s">
        <v>19</v>
      </c>
      <c r="G46" s="10">
        <v>0.16666666666666666</v>
      </c>
      <c r="H46" t="s">
        <v>242</v>
      </c>
      <c r="I46" t="s">
        <v>232</v>
      </c>
      <c r="J46" s="11">
        <v>42987.541666666664</v>
      </c>
      <c r="K46" s="11">
        <f t="shared" si="0"/>
        <v>42987.708333333328</v>
      </c>
      <c r="L46" s="11">
        <v>42992.541666666664</v>
      </c>
    </row>
    <row r="47" spans="1:12" x14ac:dyDescent="0.2">
      <c r="A47" t="s">
        <v>306</v>
      </c>
      <c r="B47" t="str">
        <f t="shared" si="1"/>
        <v>NÃO CHEGOU</v>
      </c>
      <c r="C47" t="s">
        <v>250</v>
      </c>
      <c r="D47" s="12" t="s">
        <v>307</v>
      </c>
      <c r="E47" s="12" t="s">
        <v>262</v>
      </c>
      <c r="F47" t="s">
        <v>19</v>
      </c>
      <c r="G47" s="10">
        <v>0.16666666666666666</v>
      </c>
      <c r="H47" t="s">
        <v>242</v>
      </c>
      <c r="I47" t="s">
        <v>232</v>
      </c>
      <c r="J47" s="11">
        <v>42988.333333333336</v>
      </c>
      <c r="K47" s="11">
        <f t="shared" si="0"/>
        <v>42988.5</v>
      </c>
      <c r="L47" s="11">
        <v>42993.333333333336</v>
      </c>
    </row>
    <row r="48" spans="1:12" x14ac:dyDescent="0.2">
      <c r="A48" t="s">
        <v>269</v>
      </c>
      <c r="B48" t="str">
        <f t="shared" si="1"/>
        <v>NÃO CHEGOU</v>
      </c>
      <c r="C48" t="s">
        <v>250</v>
      </c>
      <c r="D48" s="12" t="s">
        <v>276</v>
      </c>
      <c r="E48" s="12" t="s">
        <v>262</v>
      </c>
      <c r="F48" t="s">
        <v>21</v>
      </c>
      <c r="G48" s="10">
        <v>4.1666666666666664E-2</v>
      </c>
      <c r="H48" t="s">
        <v>242</v>
      </c>
      <c r="I48" t="s">
        <v>232</v>
      </c>
      <c r="J48" s="11">
        <v>42988.541666666664</v>
      </c>
      <c r="K48" s="11">
        <f t="shared" si="0"/>
        <v>42988.583333333328</v>
      </c>
      <c r="L48" s="11">
        <v>42993.541666666664</v>
      </c>
    </row>
    <row r="49" spans="1:12" x14ac:dyDescent="0.2">
      <c r="A49" t="s">
        <v>306</v>
      </c>
      <c r="B49" t="str">
        <f t="shared" si="1"/>
        <v>NÃO CHEGOU</v>
      </c>
      <c r="C49" t="s">
        <v>250</v>
      </c>
      <c r="D49" s="12" t="s">
        <v>276</v>
      </c>
      <c r="E49" s="12" t="s">
        <v>262</v>
      </c>
      <c r="F49" t="s">
        <v>20</v>
      </c>
      <c r="G49" s="10">
        <v>0.16666666666666666</v>
      </c>
      <c r="H49" t="s">
        <v>242</v>
      </c>
      <c r="I49" t="s">
        <v>233</v>
      </c>
      <c r="J49" s="11">
        <v>42983.541666666664</v>
      </c>
      <c r="K49" s="11">
        <f t="shared" si="0"/>
        <v>42983.708333333328</v>
      </c>
      <c r="L49" s="11">
        <v>42988.541666666664</v>
      </c>
    </row>
    <row r="50" spans="1:12" x14ac:dyDescent="0.2">
      <c r="A50" t="s">
        <v>306</v>
      </c>
      <c r="B50" t="str">
        <f t="shared" si="1"/>
        <v>NÃO CHEGOU</v>
      </c>
      <c r="C50" t="s">
        <v>250</v>
      </c>
      <c r="D50" s="12" t="s">
        <v>276</v>
      </c>
      <c r="E50" s="12" t="s">
        <v>262</v>
      </c>
      <c r="F50" t="s">
        <v>20</v>
      </c>
      <c r="G50" s="10">
        <v>0.16666666666666666</v>
      </c>
      <c r="H50" t="s">
        <v>242</v>
      </c>
      <c r="I50" t="s">
        <v>233</v>
      </c>
      <c r="J50" s="11">
        <v>42984.333333333336</v>
      </c>
      <c r="K50" s="11">
        <f t="shared" si="0"/>
        <v>42984.5</v>
      </c>
      <c r="L50" s="11">
        <v>42989.333333333336</v>
      </c>
    </row>
    <row r="51" spans="1:12" x14ac:dyDescent="0.2">
      <c r="A51" t="s">
        <v>306</v>
      </c>
      <c r="B51" t="str">
        <f t="shared" si="1"/>
        <v>NÃO CHEGOU</v>
      </c>
      <c r="C51" t="s">
        <v>250</v>
      </c>
      <c r="D51" s="12" t="s">
        <v>276</v>
      </c>
      <c r="E51" s="12" t="s">
        <v>262</v>
      </c>
      <c r="F51" t="s">
        <v>20</v>
      </c>
      <c r="G51" s="10">
        <v>4.1666666666666664E-2</v>
      </c>
      <c r="H51" t="s">
        <v>242</v>
      </c>
      <c r="I51" t="s">
        <v>233</v>
      </c>
      <c r="J51" s="11">
        <v>42984.541666666664</v>
      </c>
      <c r="K51" s="11">
        <f t="shared" si="0"/>
        <v>42984.583333333328</v>
      </c>
      <c r="L51" s="11">
        <v>42989.541666666664</v>
      </c>
    </row>
    <row r="52" spans="1:12" x14ac:dyDescent="0.2">
      <c r="B52" t="str">
        <f t="shared" si="1"/>
        <v/>
      </c>
      <c r="J52" s="11"/>
      <c r="K52" s="11" t="str">
        <f t="shared" si="0"/>
        <v/>
      </c>
    </row>
    <row r="53" spans="1:12" x14ac:dyDescent="0.2">
      <c r="B53" t="str">
        <f t="shared" si="1"/>
        <v/>
      </c>
      <c r="J53" s="11"/>
      <c r="K53" s="11" t="str">
        <f t="shared" si="0"/>
        <v/>
      </c>
    </row>
    <row r="54" spans="1:12" x14ac:dyDescent="0.2">
      <c r="B54" t="str">
        <f t="shared" si="1"/>
        <v/>
      </c>
      <c r="J54" s="11"/>
      <c r="K54" s="11" t="str">
        <f t="shared" si="0"/>
        <v/>
      </c>
    </row>
    <row r="55" spans="1:12" x14ac:dyDescent="0.2">
      <c r="B55" t="str">
        <f t="shared" si="1"/>
        <v/>
      </c>
      <c r="J55" s="11"/>
      <c r="K55" s="11" t="str">
        <f t="shared" si="0"/>
        <v/>
      </c>
    </row>
    <row r="56" spans="1:12" x14ac:dyDescent="0.2">
      <c r="B56" t="str">
        <f t="shared" si="1"/>
        <v/>
      </c>
      <c r="J56" s="11"/>
      <c r="K56" s="11" t="str">
        <f t="shared" si="0"/>
        <v/>
      </c>
    </row>
    <row r="57" spans="1:12" x14ac:dyDescent="0.2">
      <c r="B57" t="str">
        <f t="shared" si="1"/>
        <v/>
      </c>
      <c r="J57" s="11"/>
      <c r="K57" s="11" t="str">
        <f t="shared" si="0"/>
        <v/>
      </c>
    </row>
    <row r="58" spans="1:12" x14ac:dyDescent="0.2">
      <c r="B58" t="str">
        <f t="shared" si="1"/>
        <v/>
      </c>
      <c r="J58" s="11"/>
      <c r="K58" s="11" t="str">
        <f t="shared" si="0"/>
        <v/>
      </c>
    </row>
    <row r="59" spans="1:12" x14ac:dyDescent="0.2">
      <c r="B59" t="str">
        <f t="shared" si="1"/>
        <v/>
      </c>
      <c r="J59" s="11"/>
      <c r="K59" s="11" t="str">
        <f t="shared" si="0"/>
        <v/>
      </c>
    </row>
    <row r="60" spans="1:12" x14ac:dyDescent="0.2">
      <c r="B60" t="str">
        <f t="shared" si="1"/>
        <v/>
      </c>
      <c r="J60" s="11"/>
      <c r="K60" s="11" t="str">
        <f t="shared" si="0"/>
        <v/>
      </c>
    </row>
    <row r="61" spans="1:12" x14ac:dyDescent="0.2">
      <c r="B61" t="str">
        <f t="shared" si="1"/>
        <v/>
      </c>
      <c r="J61" s="11"/>
      <c r="K61" s="11" t="str">
        <f t="shared" si="0"/>
        <v/>
      </c>
    </row>
    <row r="62" spans="1:12" x14ac:dyDescent="0.2">
      <c r="B62" t="str">
        <f t="shared" si="1"/>
        <v/>
      </c>
      <c r="J62" s="11"/>
      <c r="K62" s="11" t="str">
        <f t="shared" si="0"/>
        <v/>
      </c>
    </row>
    <row r="63" spans="1:12" x14ac:dyDescent="0.2">
      <c r="B63" t="str">
        <f t="shared" si="1"/>
        <v/>
      </c>
      <c r="J63" s="11"/>
      <c r="K63" s="11" t="str">
        <f t="shared" si="0"/>
        <v/>
      </c>
    </row>
    <row r="64" spans="1:12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3" priority="3">
      <formula>AND(SUMPRODUCT(--($I$3:$I$1000=$I3),--($J$3:$J$1000&lt;=$J3),--($K$3:$K$1000&gt;$J3))&gt;1,NOT($A1=0))</formula>
    </cfRule>
  </conditionalFormatting>
  <conditionalFormatting sqref="E3:E56">
    <cfRule type="expression" dxfId="2" priority="2">
      <formula>AND(SUMPRODUCT(--($I$3:$I$1000=$I3),--($J$3:$J$1000&lt;=$J3),--($K$3:$K$1000&gt;$J3))&gt;1,NOT($A1=0))</formula>
    </cfRule>
  </conditionalFormatting>
  <conditionalFormatting sqref="D4:D14">
    <cfRule type="expression" dxfId="1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tabSelected="1" zoomScale="70" zoomScaleNormal="70" workbookViewId="0">
      <selection activeCell="E8" sqref="E8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7" ht="18.75" x14ac:dyDescent="0.2">
      <c r="A1" s="15" t="s">
        <v>308</v>
      </c>
      <c r="B1" s="16">
        <v>2017</v>
      </c>
      <c r="C1" s="15"/>
      <c r="D1" s="16"/>
      <c r="E1" s="15"/>
      <c r="F1" s="16" t="s">
        <v>312</v>
      </c>
      <c r="G1" s="18" t="s">
        <v>233</v>
      </c>
    </row>
    <row r="2" spans="1:7" ht="18.75" x14ac:dyDescent="0.2">
      <c r="A2" s="15" t="s">
        <v>309</v>
      </c>
      <c r="B2" s="16">
        <f ca="1">WEEKNUM(NOW())</f>
        <v>36</v>
      </c>
      <c r="C2" s="15"/>
      <c r="D2" s="17"/>
      <c r="E2" s="15"/>
      <c r="F2" s="16" t="s">
        <v>310</v>
      </c>
      <c r="G2" s="18"/>
    </row>
    <row r="3" spans="1:7" ht="21" x14ac:dyDescent="0.2">
      <c r="A3" s="24" t="s">
        <v>311</v>
      </c>
      <c r="B3" s="19">
        <f ca="1">IF(G2="",DATE(B1,1,1)+B2*7-6,DATE(B1,1,1)+G2*7-6)</f>
        <v>42982</v>
      </c>
      <c r="C3" s="19">
        <f ca="1">B3+1</f>
        <v>42983</v>
      </c>
      <c r="D3" s="19">
        <f ca="1">C3+1</f>
        <v>42984</v>
      </c>
      <c r="E3" s="19">
        <f ca="1">D3+1</f>
        <v>42985</v>
      </c>
      <c r="F3" s="19">
        <f ca="1">E3+1</f>
        <v>42986</v>
      </c>
      <c r="G3" s="19">
        <f ca="1">F3+1</f>
        <v>42987</v>
      </c>
    </row>
    <row r="4" spans="1:7" ht="21" x14ac:dyDescent="0.2">
      <c r="A4" s="24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7" ht="30" customHeight="1" x14ac:dyDescent="0.2">
      <c r="A5" s="21">
        <v>0.29166666666666669</v>
      </c>
      <c r="B5" s="26" t="str">
        <f ca="1">calendario(B$3,$A5,$G$1)</f>
        <v/>
      </c>
      <c r="C5" s="26" t="str">
        <f t="shared" ref="C5:G19" ca="1" si="1">calendario(C$3,$A5,$G$1)</f>
        <v/>
      </c>
      <c r="D5" s="26" t="str">
        <f ca="1">calendario(D$3,$A5,$G$1)</f>
        <v/>
      </c>
      <c r="E5" s="26" t="str">
        <f t="shared" ca="1" si="1"/>
        <v/>
      </c>
      <c r="F5" s="26" t="str">
        <f t="shared" ca="1" si="1"/>
        <v/>
      </c>
      <c r="G5" s="26" t="str">
        <f t="shared" ca="1" si="1"/>
        <v/>
      </c>
    </row>
    <row r="6" spans="1:7" ht="30" customHeight="1" x14ac:dyDescent="0.2">
      <c r="A6" s="21">
        <v>0.33333333333333298</v>
      </c>
      <c r="B6" s="22" t="str">
        <f ca="1">calendario(B$3,$A6,$G$1)</f>
        <v>asjkfhk-daslkh-NÃO CHEGOU</v>
      </c>
      <c r="C6" s="22" t="str">
        <f ca="1">calendario(C$3,$A6,$G$1)</f>
        <v>asdas-dasda-NÃO CHEGOU</v>
      </c>
      <c r="D6" s="22" t="str">
        <f ca="1">calendario(D$3,$A6,$G$1)</f>
        <v>dsad-das-NÃO CHEGOU</v>
      </c>
      <c r="E6" s="22" t="str">
        <f t="shared" ca="1" si="1"/>
        <v/>
      </c>
      <c r="F6" s="22" t="str">
        <f t="shared" ca="1" si="1"/>
        <v/>
      </c>
      <c r="G6" s="22" t="str">
        <f t="shared" ca="1" si="1"/>
        <v/>
      </c>
    </row>
    <row r="7" spans="1:7" ht="30" customHeight="1" x14ac:dyDescent="0.2">
      <c r="A7" s="21">
        <v>0.375</v>
      </c>
      <c r="B7" s="22" t="str">
        <f t="shared" ref="B7:B19" ca="1" si="2">calendario(B$3,$A7,$G$1)</f>
        <v>asjkfhk-daslkh-NÃO CHEGOU</v>
      </c>
      <c r="C7" s="22" t="str">
        <f ca="1">calendario(C$3,$A7,$G$1)</f>
        <v>asdas-dasda-NÃO CHEGOU</v>
      </c>
      <c r="D7" s="22" t="str">
        <f ca="1">calendario(D$3,$A7,$G$1)</f>
        <v>dsad-das-NÃO CHEGOU</v>
      </c>
      <c r="E7" s="22" t="str">
        <f t="shared" ca="1" si="1"/>
        <v/>
      </c>
      <c r="F7" s="22" t="str">
        <f t="shared" ca="1" si="1"/>
        <v/>
      </c>
      <c r="G7" s="22" t="str">
        <f t="shared" ca="1" si="1"/>
        <v/>
      </c>
    </row>
    <row r="8" spans="1:7" ht="30" customHeight="1" x14ac:dyDescent="0.2">
      <c r="A8" s="21">
        <v>0.41666666666666702</v>
      </c>
      <c r="B8" s="22" t="str">
        <f t="shared" ca="1" si="2"/>
        <v>asjkfhk-daslkh-NÃO CHEGOU</v>
      </c>
      <c r="C8" s="22" t="str">
        <f t="shared" ca="1" si="1"/>
        <v>asdas-dasda-NÃO CHEGOU</v>
      </c>
      <c r="D8" s="22" t="str">
        <f ca="1">calendario(D$3,$A8,$G$1)</f>
        <v>dsad-das-NÃO CHEGOU</v>
      </c>
      <c r="E8" s="22" t="str">
        <f t="shared" ca="1" si="1"/>
        <v/>
      </c>
      <c r="F8" s="22" t="str">
        <f t="shared" ca="1" si="1"/>
        <v/>
      </c>
      <c r="G8" s="22" t="str">
        <f t="shared" ca="1" si="1"/>
        <v/>
      </c>
    </row>
    <row r="9" spans="1:7" ht="30" customHeight="1" x14ac:dyDescent="0.2">
      <c r="A9" s="21">
        <v>0.45833333333333298</v>
      </c>
      <c r="B9" s="22" t="str">
        <f t="shared" ca="1" si="2"/>
        <v>asjkfhk-daslkh-NÃO CHEGOU</v>
      </c>
      <c r="C9" s="22" t="str">
        <f t="shared" ca="1" si="1"/>
        <v>asdas-dasda-NÃO CHEGOU</v>
      </c>
      <c r="D9" s="22" t="str">
        <f ca="1">calendario(D$3,$A9,$G$1)</f>
        <v>dsad-das-NÃO CHEGOU</v>
      </c>
      <c r="E9" s="22" t="str">
        <f t="shared" ca="1" si="1"/>
        <v/>
      </c>
      <c r="F9" s="22" t="str">
        <f t="shared" ca="1" si="1"/>
        <v/>
      </c>
      <c r="G9" s="22" t="str">
        <f t="shared" ca="1" si="1"/>
        <v/>
      </c>
    </row>
    <row r="10" spans="1:7" ht="30" customHeight="1" x14ac:dyDescent="0.2">
      <c r="A10" s="21">
        <v>0.5</v>
      </c>
      <c r="B10" s="26" t="str">
        <f t="shared" ca="1" si="2"/>
        <v>asjkfhk-daslkh-NÃO CHEGOU</v>
      </c>
      <c r="C10" s="26" t="str">
        <f t="shared" ca="1" si="1"/>
        <v>asdas-dasda-NÃO CHEGOU</v>
      </c>
      <c r="D10" s="26" t="str">
        <f ca="1">calendario(D$3,$A10,$G$1)</f>
        <v>dsad-das-NÃO CHEGOU</v>
      </c>
      <c r="E10" s="26" t="str">
        <f t="shared" ca="1" si="1"/>
        <v/>
      </c>
      <c r="F10" s="26" t="str">
        <f t="shared" ca="1" si="1"/>
        <v/>
      </c>
      <c r="G10" s="26" t="str">
        <f t="shared" ca="1" si="1"/>
        <v/>
      </c>
    </row>
    <row r="11" spans="1:7" ht="30" customHeight="1" x14ac:dyDescent="0.2">
      <c r="A11" s="21">
        <v>0.54166666666666496</v>
      </c>
      <c r="B11" s="22" t="str">
        <f t="shared" ca="1" si="2"/>
        <v>asdas-dasda-NÃO CHEGOU</v>
      </c>
      <c r="C11" s="22" t="str">
        <f t="shared" ca="1" si="1"/>
        <v>dsad-das-NÃO CHEGOU</v>
      </c>
      <c r="D11" s="22" t="str">
        <f ca="1">calendario(D$3,$A11,$G$1)</f>
        <v>dsad-das-NÃO CHEGOU</v>
      </c>
      <c r="E11" s="22" t="str">
        <f t="shared" ca="1" si="1"/>
        <v/>
      </c>
      <c r="F11" s="22" t="str">
        <f t="shared" ca="1" si="1"/>
        <v/>
      </c>
      <c r="G11" s="22" t="str">
        <f t="shared" ca="1" si="1"/>
        <v/>
      </c>
    </row>
    <row r="12" spans="1:7" ht="30" customHeight="1" x14ac:dyDescent="0.2">
      <c r="A12" s="21">
        <v>0.58333333333333104</v>
      </c>
      <c r="B12" s="22" t="str">
        <f t="shared" ca="1" si="2"/>
        <v>asdas-dasda-NÃO CHEGOU</v>
      </c>
      <c r="C12" s="22" t="str">
        <f t="shared" ca="1" si="1"/>
        <v>dsad-das-NÃO CHEGOU</v>
      </c>
      <c r="D12" s="22" t="str">
        <f ca="1">calendario(D$3,$A12,$G$1)</f>
        <v/>
      </c>
      <c r="E12" s="22" t="str">
        <f t="shared" ca="1" si="1"/>
        <v/>
      </c>
      <c r="F12" s="22" t="str">
        <f t="shared" ca="1" si="1"/>
        <v/>
      </c>
      <c r="G12" s="22" t="str">
        <f t="shared" ca="1" si="1"/>
        <v/>
      </c>
    </row>
    <row r="13" spans="1:7" ht="30" customHeight="1" x14ac:dyDescent="0.2">
      <c r="A13" s="21">
        <v>0.624999999999997</v>
      </c>
      <c r="B13" s="22" t="str">
        <f t="shared" ca="1" si="2"/>
        <v>asdas-dasda-NÃO CHEGOU</v>
      </c>
      <c r="C13" s="22" t="str">
        <f t="shared" ca="1" si="1"/>
        <v>dsad-das-NÃO CHEGOU</v>
      </c>
      <c r="D13" s="22" t="str">
        <f ca="1">calendario(D$3,$A13,$G$1)</f>
        <v/>
      </c>
      <c r="E13" s="22" t="str">
        <f t="shared" ca="1" si="1"/>
        <v/>
      </c>
      <c r="F13" s="22" t="str">
        <f t="shared" ca="1" si="1"/>
        <v/>
      </c>
      <c r="G13" s="22" t="str">
        <f t="shared" ca="1" si="1"/>
        <v/>
      </c>
    </row>
    <row r="14" spans="1:7" ht="30" customHeight="1" x14ac:dyDescent="0.2">
      <c r="A14" s="21">
        <v>0.66666666666666397</v>
      </c>
      <c r="B14" s="22" t="str">
        <f t="shared" ca="1" si="2"/>
        <v>asdas-dasda-NÃO CHEGOU</v>
      </c>
      <c r="C14" s="22" t="str">
        <f t="shared" ca="1" si="1"/>
        <v>dsad-das-NÃO CHEGOU</v>
      </c>
      <c r="D14" s="22" t="str">
        <f ca="1">calendario(D$3,$A14,$G$1)</f>
        <v/>
      </c>
      <c r="E14" s="22" t="str">
        <f t="shared" ca="1" si="1"/>
        <v/>
      </c>
      <c r="F14" s="22" t="str">
        <f t="shared" ca="1" si="1"/>
        <v/>
      </c>
      <c r="G14" s="22" t="str">
        <f t="shared" ca="1" si="1"/>
        <v/>
      </c>
    </row>
    <row r="15" spans="1:7" ht="30" customHeight="1" x14ac:dyDescent="0.2">
      <c r="A15" s="21">
        <v>0.70833333333333004</v>
      </c>
      <c r="B15" s="22" t="str">
        <f t="shared" ca="1" si="2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7" ht="30" customHeight="1" x14ac:dyDescent="0.2">
      <c r="A16" s="21">
        <v>0.749999999999996</v>
      </c>
      <c r="B16" s="26" t="str">
        <f t="shared" ca="1" si="2"/>
        <v/>
      </c>
      <c r="C16" s="26" t="str">
        <f t="shared" ca="1" si="1"/>
        <v/>
      </c>
      <c r="D16" s="26" t="str">
        <f t="shared" ca="1" si="1"/>
        <v/>
      </c>
      <c r="E16" s="26" t="str">
        <f t="shared" ca="1" si="1"/>
        <v/>
      </c>
      <c r="F16" s="26" t="str">
        <f t="shared" ca="1" si="1"/>
        <v/>
      </c>
      <c r="G16" s="26" t="str">
        <f t="shared" ca="1" si="1"/>
        <v/>
      </c>
    </row>
    <row r="17" spans="1:7" ht="30" customHeight="1" x14ac:dyDescent="0.2">
      <c r="A17" s="21">
        <v>0.79166666666666297</v>
      </c>
      <c r="B17" s="26" t="str">
        <f t="shared" ca="1" si="2"/>
        <v/>
      </c>
      <c r="C17" s="26" t="str">
        <f t="shared" ca="1" si="1"/>
        <v/>
      </c>
      <c r="D17" s="26" t="str">
        <f t="shared" ca="1" si="1"/>
        <v/>
      </c>
      <c r="E17" s="26" t="str">
        <f t="shared" ca="1" si="1"/>
        <v/>
      </c>
      <c r="F17" s="26" t="str">
        <f t="shared" ca="1" si="1"/>
        <v/>
      </c>
      <c r="G17" s="26" t="str">
        <f t="shared" ca="1" si="1"/>
        <v/>
      </c>
    </row>
    <row r="18" spans="1:7" ht="30" customHeight="1" x14ac:dyDescent="0.2">
      <c r="A18" s="21">
        <v>0.83333333333332904</v>
      </c>
      <c r="B18" s="26" t="str">
        <f t="shared" ca="1" si="2"/>
        <v/>
      </c>
      <c r="C18" s="26" t="str">
        <f t="shared" ca="1" si="1"/>
        <v/>
      </c>
      <c r="D18" s="26" t="str">
        <f t="shared" ca="1" si="1"/>
        <v/>
      </c>
      <c r="E18" s="26" t="str">
        <f t="shared" ca="1" si="1"/>
        <v/>
      </c>
      <c r="F18" s="26" t="str">
        <f t="shared" ca="1" si="1"/>
        <v/>
      </c>
      <c r="G18" s="26" t="str">
        <f t="shared" ca="1" si="1"/>
        <v/>
      </c>
    </row>
    <row r="19" spans="1:7" ht="30" customHeight="1" x14ac:dyDescent="0.2">
      <c r="A19" s="21">
        <v>0.874999999999995</v>
      </c>
      <c r="B19" s="26" t="str">
        <f t="shared" ca="1" si="2"/>
        <v/>
      </c>
      <c r="C19" s="26" t="str">
        <f t="shared" ca="1" si="1"/>
        <v/>
      </c>
      <c r="D19" s="26" t="str">
        <f t="shared" ca="1" si="1"/>
        <v/>
      </c>
      <c r="E19" s="26" t="str">
        <f t="shared" ca="1" si="1"/>
        <v/>
      </c>
      <c r="F19" s="26" t="str">
        <f t="shared" ca="1" si="1"/>
        <v/>
      </c>
      <c r="G19" s="26" t="str">
        <f t="shared" ca="1" si="1"/>
        <v/>
      </c>
    </row>
  </sheetData>
  <mergeCells count="1">
    <mergeCell ref="A3:A4"/>
  </mergeCells>
  <conditionalFormatting sqref="B5:G19">
    <cfRule type="expression" dxfId="0" priority="1">
      <formula>OR(WEEKDAY(B$7,1)=1,(WEEKDAY(B$7,1)=7))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25" t="s">
        <v>16</v>
      </c>
      <c r="B1" s="25"/>
      <c r="C1" s="25"/>
      <c r="D1" s="25"/>
      <c r="E1" s="25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30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60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45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2017-09-05T04:18:47Z</dcterms:modified>
</cp:coreProperties>
</file>