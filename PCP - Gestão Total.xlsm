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Banco de Dados" sheetId="3" r:id="rId2"/>
  </sheets>
  <definedNames>
    <definedName name="_xlnm._FilterDatabase" localSheetId="1" hidden="1">'Banco de Dados'!$A$2:$E$2</definedName>
    <definedName name="_xlnm._FilterDatabase" localSheetId="0" hidden="1">Resumo!$A$2:$N$1631</definedName>
  </definedNames>
  <calcPr calcId="162913"/>
</workbook>
</file>

<file path=xl/calcChain.xml><?xml version="1.0" encoding="utf-8"?>
<calcChain xmlns="http://schemas.openxmlformats.org/spreadsheetml/2006/main">
  <c r="B28" i="2" l="1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26" i="2"/>
  <c r="B27" i="2"/>
  <c r="B25" i="2"/>
  <c r="B23" i="2"/>
  <c r="B24" i="2"/>
  <c r="B22" i="2"/>
  <c r="B21" i="2"/>
  <c r="B16" i="2" l="1"/>
  <c r="B17" i="2"/>
  <c r="B18" i="2"/>
  <c r="B19" i="2"/>
  <c r="B4" i="2"/>
  <c r="B6" i="2"/>
  <c r="B7" i="2"/>
  <c r="B8" i="2"/>
  <c r="B9" i="2"/>
  <c r="B10" i="2"/>
  <c r="B11" i="2"/>
  <c r="B12" i="2"/>
  <c r="B13" i="2"/>
  <c r="B14" i="2"/>
  <c r="B15" i="2"/>
  <c r="N1" i="2"/>
  <c r="B3" i="2" s="1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B20" i="2" l="1"/>
  <c r="B5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</calcChain>
</file>

<file path=xl/sharedStrings.xml><?xml version="1.0" encoding="utf-8"?>
<sst xmlns="http://schemas.openxmlformats.org/spreadsheetml/2006/main" count="914" uniqueCount="295">
  <si>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</si>
  <si>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</si>
  <si>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</si>
  <si>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</si>
  <si>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</si>
  <si>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</si>
  <si>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</si>
  <si>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</si>
  <si>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Serviço Externo/Interno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</si>
  <si>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</si>
  <si>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</si>
  <si>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</si>
  <si>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</si>
  <si>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</si>
  <si>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</si>
  <si>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</si>
  <si>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</si>
  <si>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</si>
  <si>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</si>
  <si>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</si>
  <si>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</si>
  <si>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</si>
  <si>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</si>
  <si>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</si>
  <si>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</si>
  <si>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</si>
  <si>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</si>
  <si>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</si>
  <si>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</si>
  <si>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</si>
  <si>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</si>
  <si>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</si>
  <si>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</si>
  <si>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</si>
  <si>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</si>
  <si>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</si>
  <si>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</si>
  <si>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</si>
  <si>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</si>
  <si>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</si>
  <si>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</si>
  <si>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</si>
  <si>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</si>
  <si>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</si>
  <si>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</si>
  <si>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</si>
  <si>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</si>
  <si>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</si>
  <si>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</si>
  <si>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</si>
  <si>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</si>
  <si>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</si>
  <si>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</si>
  <si>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</si>
  <si>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</si>
  <si>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</si>
  <si>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</si>
  <si>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</si>
  <si>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</si>
  <si>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</si>
  <si>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</si>
  <si>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</si>
  <si>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</si>
  <si>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</si>
  <si>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</si>
  <si>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</si>
  <si>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</si>
  <si>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</si>
  <si>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</si>
  <si>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</si>
  <si>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</si>
  <si>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</si>
  <si>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</si>
  <si>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</si>
  <si>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</si>
  <si>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</si>
  <si>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</si>
  <si>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</si>
  <si>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</si>
  <si>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</si>
  <si>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</si>
  <si>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</si>
  <si>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</si>
  <si>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</si>
  <si>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</si>
  <si>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</si>
  <si>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</si>
  <si>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</si>
  <si>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</si>
  <si>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</si>
  <si>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</si>
  <si>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</si>
  <si>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</si>
  <si>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</si>
  <si>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</si>
  <si>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</si>
  <si>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</si>
  <si>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</si>
  <si>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</si>
  <si>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</si>
  <si>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</si>
  <si>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</si>
  <si>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</si>
  <si>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</si>
  <si>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</si>
  <si>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</si>
  <si>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</si>
  <si>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</si>
  <si>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</si>
  <si>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</si>
  <si>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</si>
  <si>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</si>
  <si>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</si>
  <si>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</si>
  <si>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</si>
  <si>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</si>
  <si>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</si>
  <si>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</si>
  <si>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</si>
  <si>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</si>
  <si>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</si>
  <si>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</si>
  <si>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</si>
  <si>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</si>
  <si>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</si>
  <si>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</si>
  <si>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</si>
  <si>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</si>
  <si>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</si>
  <si>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</si>
  <si>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</si>
  <si>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</si>
  <si>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</si>
  <si>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</si>
  <si>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</si>
  <si>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</si>
  <si>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</si>
  <si>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</si>
  <si>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</si>
  <si>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</si>
  <si>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</si>
  <si>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</si>
  <si>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</si>
  <si>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</si>
  <si>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</si>
  <si>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</si>
  <si>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</si>
  <si>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</si>
  <si>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</si>
  <si>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</si>
  <si>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</si>
  <si>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</si>
  <si>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</si>
  <si>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</si>
  <si>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</si>
  <si>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</si>
  <si>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</si>
  <si>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</si>
  <si>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</si>
  <si>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</si>
  <si>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</si>
  <si>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</si>
  <si>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</si>
  <si>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</si>
  <si>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</si>
  <si>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</si>
  <si>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</si>
  <si>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</si>
  <si>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</si>
  <si>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</si>
  <si>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</si>
  <si>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</si>
  <si>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</si>
  <si>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</si>
  <si>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</si>
  <si>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</si>
  <si>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</si>
  <si>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</si>
  <si>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</si>
  <si>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</si>
  <si>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</si>
  <si>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</si>
  <si>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</si>
  <si>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</si>
  <si>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</si>
  <si>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</si>
  <si>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</si>
  <si>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</si>
  <si>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</si>
  <si>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</si>
  <si>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</si>
  <si>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</si>
  <si>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</si>
  <si>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</si>
  <si>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</si>
  <si>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</si>
  <si>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</si>
  <si>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</si>
  <si>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</si>
  <si>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</si>
  <si>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</si>
  <si>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</si>
  <si>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</si>
  <si>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</si>
  <si>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</si>
  <si>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</si>
  <si>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</si>
  <si>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</si>
  <si>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</si>
  <si>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</si>
  <si>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</si>
  <si>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</si>
  <si>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</si>
  <si>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</si>
  <si>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</si>
  <si>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</si>
  <si>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</si>
  <si>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</si>
  <si>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</si>
  <si>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</si>
  <si>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</si>
  <si>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</si>
  <si>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</si>
  <si>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</si>
  <si>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</si>
  <si>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</si>
  <si>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</si>
  <si>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</si>
  <si>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</si>
  <si>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</si>
  <si>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</si>
  <si>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</si>
  <si>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</si>
  <si>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</si>
  <si>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</si>
  <si>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</si>
  <si>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</si>
  <si>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</si>
  <si>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</si>
  <si>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</si>
  <si>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</si>
  <si>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</si>
  <si>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</si>
  <si>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</si>
  <si>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</si>
  <si>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</si>
  <si>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</si>
  <si>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</si>
  <si>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</si>
  <si>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01:00</t>
  </si>
  <si>
    <t>Não</t>
  </si>
  <si>
    <t>32131</t>
  </si>
  <si>
    <t>2131</t>
  </si>
  <si>
    <t>ewe</t>
  </si>
  <si>
    <t>432432</t>
  </si>
  <si>
    <t>5353/4534</t>
  </si>
  <si>
    <t>534/3</t>
  </si>
  <si>
    <t>423/0</t>
  </si>
  <si>
    <t>Data Limite para entrega:</t>
  </si>
  <si>
    <t>Certificado /Relatório</t>
  </si>
  <si>
    <t>6456</t>
  </si>
  <si>
    <t>534534</t>
  </si>
  <si>
    <t/>
  </si>
  <si>
    <t>3123</t>
  </si>
  <si>
    <t>31231</t>
  </si>
  <si>
    <t>01:15</t>
  </si>
  <si>
    <t>eqwew</t>
  </si>
  <si>
    <t>eqwe</t>
  </si>
  <si>
    <t>ewda</t>
  </si>
  <si>
    <t>dasda</t>
  </si>
  <si>
    <t>dsa</t>
  </si>
  <si>
    <t>04:00</t>
  </si>
  <si>
    <t>asd</t>
  </si>
  <si>
    <t>asda</t>
  </si>
  <si>
    <t>05:00</t>
  </si>
  <si>
    <t>dasdas</t>
  </si>
  <si>
    <t>das</t>
  </si>
  <si>
    <t>10:00</t>
  </si>
  <si>
    <t>sadasda</t>
  </si>
  <si>
    <t>dasd</t>
  </si>
  <si>
    <t>sdasd</t>
  </si>
  <si>
    <t>dasdsa</t>
  </si>
  <si>
    <t>asdada</t>
  </si>
  <si>
    <t>dadsa</t>
  </si>
  <si>
    <t>da</t>
  </si>
  <si>
    <t>sada</t>
  </si>
  <si>
    <t>eqweq</t>
  </si>
  <si>
    <t>ewqeqw</t>
  </si>
  <si>
    <t>eq</t>
  </si>
  <si>
    <t>eqw</t>
  </si>
  <si>
    <t>kdahsiduan</t>
  </si>
  <si>
    <t>dmasnkjd</t>
  </si>
  <si>
    <t>02:00</t>
  </si>
  <si>
    <t>dasdsda</t>
  </si>
  <si>
    <t>dsdsa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</si>
</sst>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</numFmts>
  <fonts count="12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17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0" fontId="7" fillId="3" borderId="0" xfId="1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5"/>
      <tableStyleElement type="headerRow" dxfId="4"/>
      <tableStyleElement type="firstColumn" dxfId="3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1131235</xdr:colOff>
      <xdr:row>0</xdr:row>
      <xdr:rowOff>21292</xdr:rowOff>
    </xdr:from>
    <xdr:to>
      <xdr:col>10</xdr:col>
      <xdr:colOff>739588</xdr:colOff>
      <xdr:row>0</xdr:row>
      <xdr:rowOff>414618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860617" y="21292"/>
          <a:ext cx="1838324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zoomScale="85" zoomScaleNormal="85" workbookViewId="0">
      <pane ySplit="2" topLeftCell="A3" activePane="bottomLeft" state="frozen"/>
      <selection pane="bottomLeft" activeCell="L28" sqref="L28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6.85546875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1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3">
        <f ca="1">NOW()</f>
        <v>42979.614538310183</v>
      </c>
    </row>
    <row r="2" spans="1:15" s="2" customFormat="1" ht="25.5" x14ac:dyDescent="0.2">
      <c r="A2" s="4" t="s">
        <v>0</v>
      </c>
      <c r="B2" s="4" t="s">
        <v>2</v>
      </c>
      <c r="C2" s="4" t="s">
        <v>8</v>
      </c>
      <c r="D2" s="4" t="s">
        <v>1</v>
      </c>
      <c r="E2" s="4" t="s">
        <v>3</v>
      </c>
      <c r="F2" s="4" t="s">
        <v>4</v>
      </c>
      <c r="G2" s="4" t="s">
        <v>14</v>
      </c>
      <c r="H2" s="4" t="s">
        <v>5</v>
      </c>
      <c r="I2" s="4" t="s">
        <v>6</v>
      </c>
      <c r="J2" s="14" t="s">
        <v>7</v>
      </c>
      <c r="K2" s="14" t="s">
        <v>248</v>
      </c>
      <c r="L2" s="14" t="s">
        <v>258</v>
      </c>
      <c r="M2" s="14" t="s">
        <v>259</v>
      </c>
      <c r="N2" s="14" t="s">
        <v>15</v>
      </c>
    </row>
    <row r="3" spans="1:15" x14ac:dyDescent="0.2">
      <c r="A3" t="s">
        <v>251</v>
      </c>
      <c r="B3" t="str">
        <f>IF(A3="","",IF(E3="","NÃO CHEGOU",IF(K3&gt;$N$1,"AGUARDANDO NO LABORATORIO",IF(M3="","ATRASADO","FINALIZADO"))))</f>
        <v>NÃO CHEGOU</v>
      </c>
      <c r="C3" t="s">
        <v>250</v>
      </c>
      <c r="D3" s="12" t="s">
        <v>255</v>
      </c>
      <c r="F3" t="s">
        <v>20</v>
      </c>
      <c r="G3" s="10" t="s">
        <v>249</v>
      </c>
      <c r="H3" t="s">
        <v>242</v>
      </c>
      <c r="I3" t="s">
        <v>233</v>
      </c>
      <c r="J3" s="11">
        <v>42977.333333333336</v>
      </c>
      <c r="K3" s="11">
        <f t="shared" ref="K3:K67" si="0">IF(A3="","",J3+G3)</f>
        <v>42977.375</v>
      </c>
      <c r="O3" s="12"/>
    </row>
    <row r="4" spans="1:15" x14ac:dyDescent="0.2">
      <c r="A4" t="s">
        <v>252</v>
      </c>
      <c r="B4" t="str">
        <f t="shared" ref="B4:B67" si="1">IF(A4="","",IF(E4="","NÃO CHEGOU",IF(K4&gt;$N$1,"AGUARDANDO NO LABORATORIO",IF(M4="","ATRASADO","FINALIZADO"))))</f>
        <v>NÃO CHEGOU</v>
      </c>
      <c r="C4" t="s">
        <v>250</v>
      </c>
      <c r="D4" s="12" t="s">
        <v>256</v>
      </c>
      <c r="F4" t="s">
        <v>20</v>
      </c>
      <c r="G4" s="10" t="s">
        <v>249</v>
      </c>
      <c r="H4" t="s">
        <v>242</v>
      </c>
      <c r="I4" t="s">
        <v>233</v>
      </c>
      <c r="J4" s="11">
        <v>42977.416666666664</v>
      </c>
      <c r="K4" s="11">
        <f t="shared" si="0"/>
        <v>42977.458333333328</v>
      </c>
    </row>
    <row r="5" spans="1:15" x14ac:dyDescent="0.2">
      <c r="A5" t="s">
        <v>253</v>
      </c>
      <c r="B5" t="str">
        <f t="shared" si="1"/>
        <v>NÃO CHEGOU</v>
      </c>
      <c r="C5" t="s">
        <v>250</v>
      </c>
      <c r="D5" s="12">
        <v>32</v>
      </c>
      <c r="F5" t="s">
        <v>22</v>
      </c>
      <c r="G5" s="10" t="s">
        <v>249</v>
      </c>
      <c r="H5" t="s">
        <v>242</v>
      </c>
      <c r="I5" t="s">
        <v>233</v>
      </c>
      <c r="J5" s="11">
        <v>42977.375</v>
      </c>
      <c r="K5" s="11">
        <f t="shared" si="0"/>
        <v>42977.416666666664</v>
      </c>
    </row>
    <row r="6" spans="1:15" x14ac:dyDescent="0.2">
      <c r="A6" t="s">
        <v>254</v>
      </c>
      <c r="B6" t="str">
        <f t="shared" si="1"/>
        <v>NÃO CHEGOU</v>
      </c>
      <c r="C6" t="s">
        <v>250</v>
      </c>
      <c r="D6" s="12" t="s">
        <v>257</v>
      </c>
      <c r="F6" t="s">
        <v>24</v>
      </c>
      <c r="G6" s="10" t="s">
        <v>249</v>
      </c>
      <c r="H6" t="s">
        <v>242</v>
      </c>
      <c r="I6" t="s">
        <v>233</v>
      </c>
      <c r="J6" s="11">
        <v>42977.458333333336</v>
      </c>
      <c r="K6" s="11">
        <f t="shared" si="0"/>
        <v>42977.5</v>
      </c>
    </row>
    <row r="7" spans="1:15" x14ac:dyDescent="0.2">
      <c r="A7" t="s">
        <v>260</v>
      </c>
      <c r="B7" t="str">
        <f t="shared" si="1"/>
        <v>NÃO CHEGOU</v>
      </c>
      <c r="C7" t="s">
        <v>250</v>
      </c>
      <c r="D7" s="12" t="s">
        <v>261</v>
      </c>
      <c r="E7" s="12" t="s">
        <v>262</v>
      </c>
      <c r="F7" t="s">
        <v>20</v>
      </c>
      <c r="G7" s="10" t="s">
        <v>249</v>
      </c>
      <c r="H7" t="s">
        <v>242</v>
      </c>
      <c r="I7" t="s">
        <v>233</v>
      </c>
      <c r="J7" s="11">
        <v>42977.541666666664</v>
      </c>
      <c r="K7" s="11">
        <f t="shared" si="0"/>
        <v>42977.583333333328</v>
      </c>
    </row>
    <row r="8" spans="1:15" x14ac:dyDescent="0.2">
      <c r="A8" t="s">
        <v>263</v>
      </c>
      <c r="B8" t="str">
        <f t="shared" si="1"/>
        <v>NÃO CHEGOU</v>
      </c>
      <c r="C8" t="s">
        <v>250</v>
      </c>
      <c r="D8" s="12" t="s">
        <v>264</v>
      </c>
      <c r="E8" s="12" t="s">
        <v>262</v>
      </c>
      <c r="F8" t="s">
        <v>26</v>
      </c>
      <c r="G8" s="10" t="s">
        <v>265</v>
      </c>
      <c r="H8" t="s">
        <v>243</v>
      </c>
      <c r="I8" t="s">
        <v>232</v>
      </c>
      <c r="J8" s="11">
        <v>42977.333333333336</v>
      </c>
      <c r="K8" s="11">
        <f t="shared" si="0"/>
        <v>42977.385416666672</v>
      </c>
    </row>
    <row r="9" spans="1:15" x14ac:dyDescent="0.2">
      <c r="A9" t="s">
        <v>266</v>
      </c>
      <c r="B9" t="str">
        <f t="shared" si="1"/>
        <v>NÃO CHEGOU</v>
      </c>
      <c r="C9" t="s">
        <v>250</v>
      </c>
      <c r="D9" s="12" t="s">
        <v>267</v>
      </c>
      <c r="E9" s="12" t="s">
        <v>262</v>
      </c>
      <c r="F9" t="s">
        <v>22</v>
      </c>
      <c r="G9" s="10" t="s">
        <v>249</v>
      </c>
      <c r="H9" t="s">
        <v>242</v>
      </c>
      <c r="I9" t="s">
        <v>233</v>
      </c>
      <c r="J9" s="11">
        <v>42977.583333333336</v>
      </c>
      <c r="K9" s="11">
        <f t="shared" si="0"/>
        <v>42977.625</v>
      </c>
      <c r="L9" s="11">
        <v>42982.583333333336</v>
      </c>
    </row>
    <row r="10" spans="1:15" x14ac:dyDescent="0.2">
      <c r="A10" t="s">
        <v>268</v>
      </c>
      <c r="B10" t="str">
        <f t="shared" si="1"/>
        <v>NÃO CHEGOU</v>
      </c>
      <c r="C10" t="s">
        <v>250</v>
      </c>
      <c r="D10" s="12" t="s">
        <v>269</v>
      </c>
      <c r="E10" s="12" t="s">
        <v>262</v>
      </c>
      <c r="F10" t="s">
        <v>21</v>
      </c>
      <c r="G10" s="10" t="s">
        <v>249</v>
      </c>
      <c r="H10" t="s">
        <v>242</v>
      </c>
      <c r="I10" t="s">
        <v>232</v>
      </c>
      <c r="J10" s="11">
        <v>42977.385416666664</v>
      </c>
      <c r="K10" s="11">
        <f t="shared" si="0"/>
        <v>42977.427083333328</v>
      </c>
      <c r="L10" s="11">
        <v>42982.385416666664</v>
      </c>
    </row>
    <row r="11" spans="1:15" x14ac:dyDescent="0.2">
      <c r="A11" t="s">
        <v>270</v>
      </c>
      <c r="B11" t="str">
        <f t="shared" si="1"/>
        <v>NÃO CHEGOU</v>
      </c>
      <c r="C11" t="s">
        <v>250</v>
      </c>
      <c r="D11" s="12" t="s">
        <v>269</v>
      </c>
      <c r="E11" s="12" t="s">
        <v>262</v>
      </c>
      <c r="F11" t="s">
        <v>22</v>
      </c>
      <c r="G11" s="10" t="s">
        <v>271</v>
      </c>
      <c r="H11" t="s">
        <v>242</v>
      </c>
      <c r="I11" t="s">
        <v>233</v>
      </c>
      <c r="J11" s="11">
        <v>42977.625</v>
      </c>
      <c r="K11" s="11">
        <f t="shared" si="0"/>
        <v>42977.791666666664</v>
      </c>
      <c r="L11" s="11">
        <v>42982.625</v>
      </c>
    </row>
    <row r="12" spans="1:15" x14ac:dyDescent="0.2">
      <c r="A12" t="s">
        <v>272</v>
      </c>
      <c r="B12" t="str">
        <f t="shared" si="1"/>
        <v>NÃO CHEGOU</v>
      </c>
      <c r="C12" t="s">
        <v>250</v>
      </c>
      <c r="D12" s="12" t="s">
        <v>273</v>
      </c>
      <c r="E12" s="12" t="s">
        <v>262</v>
      </c>
      <c r="F12" t="s">
        <v>22</v>
      </c>
      <c r="G12" s="10" t="s">
        <v>274</v>
      </c>
      <c r="H12" t="s">
        <v>242</v>
      </c>
      <c r="I12" t="s">
        <v>233</v>
      </c>
      <c r="J12" s="11">
        <v>42978.333333333336</v>
      </c>
      <c r="K12" s="11">
        <f t="shared" si="0"/>
        <v>42978.541666666672</v>
      </c>
      <c r="L12" s="11">
        <v>42983.333333333336</v>
      </c>
    </row>
    <row r="13" spans="1:15" x14ac:dyDescent="0.2">
      <c r="A13" t="s">
        <v>275</v>
      </c>
      <c r="B13" t="str">
        <f t="shared" si="1"/>
        <v>NÃO CHEGOU</v>
      </c>
      <c r="C13" t="s">
        <v>250</v>
      </c>
      <c r="D13" s="12" t="s">
        <v>276</v>
      </c>
      <c r="E13" s="12" t="s">
        <v>262</v>
      </c>
      <c r="F13" t="s">
        <v>20</v>
      </c>
      <c r="G13" s="10" t="s">
        <v>277</v>
      </c>
      <c r="H13" t="s">
        <v>242</v>
      </c>
      <c r="I13" t="s">
        <v>233</v>
      </c>
      <c r="J13" s="11">
        <v>42978.541666666664</v>
      </c>
      <c r="K13" s="11">
        <f t="shared" si="0"/>
        <v>42978.958333333328</v>
      </c>
      <c r="L13" s="11">
        <v>42983.541666666664</v>
      </c>
    </row>
    <row r="14" spans="1:15" x14ac:dyDescent="0.2">
      <c r="A14" t="s">
        <v>278</v>
      </c>
      <c r="B14" t="str">
        <f t="shared" si="1"/>
        <v>NÃO CHEGOU</v>
      </c>
      <c r="C14" t="s">
        <v>250</v>
      </c>
      <c r="D14" s="12" t="s">
        <v>279</v>
      </c>
      <c r="E14" s="12" t="s">
        <v>262</v>
      </c>
      <c r="F14" t="s">
        <v>20</v>
      </c>
      <c r="G14" s="10" t="s">
        <v>249</v>
      </c>
      <c r="H14" t="s">
        <v>242</v>
      </c>
      <c r="I14" t="s">
        <v>233</v>
      </c>
      <c r="J14" s="11">
        <v>42979.333333333336</v>
      </c>
      <c r="K14" s="11">
        <f t="shared" si="0"/>
        <v>42979.375</v>
      </c>
      <c r="L14" s="11">
        <v>42984.333333333336</v>
      </c>
    </row>
    <row r="15" spans="1:15" x14ac:dyDescent="0.2">
      <c r="A15" t="s">
        <v>279</v>
      </c>
      <c r="B15" t="str">
        <f t="shared" si="1"/>
        <v>NÃO CHEGOU</v>
      </c>
      <c r="C15" t="s">
        <v>250</v>
      </c>
      <c r="D15" s="12" t="s">
        <v>269</v>
      </c>
      <c r="E15" s="12" t="s">
        <v>262</v>
      </c>
      <c r="F15" t="s">
        <v>20</v>
      </c>
      <c r="G15" s="10" t="s">
        <v>274</v>
      </c>
      <c r="H15" t="s">
        <v>242</v>
      </c>
      <c r="I15" t="s">
        <v>233</v>
      </c>
      <c r="J15" s="11">
        <v>42979.375</v>
      </c>
      <c r="K15" s="11">
        <f t="shared" si="0"/>
        <v>42979.583333333336</v>
      </c>
      <c r="L15" s="11">
        <v>42984.375</v>
      </c>
    </row>
    <row r="16" spans="1:15" x14ac:dyDescent="0.2">
      <c r="A16" t="s">
        <v>280</v>
      </c>
      <c r="B16" t="str">
        <f t="shared" si="1"/>
        <v>NÃO CHEGOU</v>
      </c>
      <c r="C16" t="s">
        <v>250</v>
      </c>
      <c r="D16" s="12" t="s">
        <v>275</v>
      </c>
      <c r="E16" s="12" t="s">
        <v>262</v>
      </c>
      <c r="F16" t="s">
        <v>23</v>
      </c>
      <c r="G16" s="10" t="s">
        <v>249</v>
      </c>
      <c r="H16" t="s">
        <v>243</v>
      </c>
      <c r="I16" t="s">
        <v>232</v>
      </c>
      <c r="J16" s="11">
        <v>42977.427083333336</v>
      </c>
      <c r="K16" s="11">
        <f t="shared" si="0"/>
        <v>42977.46875</v>
      </c>
      <c r="L16" s="11">
        <v>42982.427083333336</v>
      </c>
    </row>
    <row r="17" spans="1:12" x14ac:dyDescent="0.2">
      <c r="A17" t="s">
        <v>281</v>
      </c>
      <c r="B17" t="str">
        <f t="shared" si="1"/>
        <v>NÃO CHEGOU</v>
      </c>
      <c r="C17" t="s">
        <v>250</v>
      </c>
      <c r="D17" s="12" t="s">
        <v>269</v>
      </c>
      <c r="E17" s="12" t="s">
        <v>262</v>
      </c>
      <c r="F17" t="s">
        <v>20</v>
      </c>
      <c r="G17" s="10" t="s">
        <v>274</v>
      </c>
      <c r="H17" t="s">
        <v>242</v>
      </c>
      <c r="I17" t="s">
        <v>233</v>
      </c>
      <c r="J17" s="11">
        <v>42979.583333333336</v>
      </c>
      <c r="K17" s="11">
        <f t="shared" si="0"/>
        <v>42979.791666666672</v>
      </c>
      <c r="L17" s="11">
        <v>42984.583333333336</v>
      </c>
    </row>
    <row r="18" spans="1:12" x14ac:dyDescent="0.2">
      <c r="A18" t="s">
        <v>279</v>
      </c>
      <c r="B18" t="str">
        <f t="shared" si="1"/>
        <v>NÃO CHEGOU</v>
      </c>
      <c r="C18" t="s">
        <v>250</v>
      </c>
      <c r="D18" s="12" t="s">
        <v>279</v>
      </c>
      <c r="E18" s="12" t="s">
        <v>262</v>
      </c>
      <c r="F18" t="s">
        <v>21</v>
      </c>
      <c r="G18" s="10" t="s">
        <v>274</v>
      </c>
      <c r="H18" t="s">
        <v>242</v>
      </c>
      <c r="I18" t="s">
        <v>232</v>
      </c>
      <c r="J18" s="11">
        <v>42977.541666666664</v>
      </c>
      <c r="K18" s="11">
        <f t="shared" si="0"/>
        <v>42977.75</v>
      </c>
      <c r="L18" s="11">
        <v>42982.541666666664</v>
      </c>
    </row>
    <row r="19" spans="1:12" x14ac:dyDescent="0.2">
      <c r="A19" t="s">
        <v>282</v>
      </c>
      <c r="B19" t="str">
        <f t="shared" si="1"/>
        <v>NÃO CHEGOU</v>
      </c>
      <c r="C19" t="s">
        <v>250</v>
      </c>
      <c r="D19" s="12" t="s">
        <v>275</v>
      </c>
      <c r="E19" s="12" t="s">
        <v>262</v>
      </c>
      <c r="F19" t="s">
        <v>21</v>
      </c>
      <c r="G19" s="10" t="s">
        <v>249</v>
      </c>
      <c r="H19" t="s">
        <v>242</v>
      </c>
      <c r="I19" t="s">
        <v>232</v>
      </c>
      <c r="J19" s="11">
        <v>42978.333333333336</v>
      </c>
      <c r="K19" s="11">
        <f t="shared" si="0"/>
        <v>42978.375</v>
      </c>
      <c r="L19" s="11">
        <v>42983.333333333336</v>
      </c>
    </row>
    <row r="20" spans="1:12" x14ac:dyDescent="0.2">
      <c r="A20" t="s">
        <v>279</v>
      </c>
      <c r="B20" t="str">
        <f t="shared" si="1"/>
        <v>NÃO CHEGOU</v>
      </c>
      <c r="C20" t="s">
        <v>250</v>
      </c>
      <c r="D20" s="12" t="s">
        <v>283</v>
      </c>
      <c r="F20" t="s">
        <v>20</v>
      </c>
      <c r="G20" s="10" t="s">
        <v>249</v>
      </c>
      <c r="H20" t="s">
        <v>242</v>
      </c>
      <c r="I20" t="s">
        <v>233</v>
      </c>
      <c r="J20" s="11">
        <v>42980.333333333336</v>
      </c>
      <c r="K20" s="11">
        <f t="shared" si="0"/>
        <v>42980.375</v>
      </c>
      <c r="L20" s="11">
        <v>42985.333333333336</v>
      </c>
    </row>
    <row r="21" spans="1:12" x14ac:dyDescent="0.2">
      <c r="A21" t="s">
        <v>284</v>
      </c>
      <c r="B21" t="str">
        <f t="shared" si="1"/>
        <v>NÃO CHEGOU</v>
      </c>
      <c r="C21" t="s">
        <v>250</v>
      </c>
      <c r="D21" s="12" t="s">
        <v>269</v>
      </c>
      <c r="E21" s="12" t="s">
        <v>262</v>
      </c>
      <c r="F21" t="s">
        <v>21</v>
      </c>
      <c r="G21" s="10" t="s">
        <v>249</v>
      </c>
      <c r="H21" t="s">
        <v>242</v>
      </c>
      <c r="I21" t="s">
        <v>232</v>
      </c>
      <c r="J21" s="11">
        <v>42978.375</v>
      </c>
      <c r="K21" s="11">
        <f t="shared" si="0"/>
        <v>42978.416666666664</v>
      </c>
      <c r="L21" s="11">
        <v>42983.375</v>
      </c>
    </row>
    <row r="22" spans="1:12" x14ac:dyDescent="0.2">
      <c r="A22" t="s">
        <v>279</v>
      </c>
      <c r="B22" t="str">
        <f t="shared" si="1"/>
        <v>NÃO CHEGOU</v>
      </c>
      <c r="C22" t="s">
        <v>250</v>
      </c>
      <c r="D22" s="12" t="s">
        <v>285</v>
      </c>
      <c r="E22" s="12" t="s">
        <v>262</v>
      </c>
      <c r="F22" t="s">
        <v>19</v>
      </c>
      <c r="G22" s="10" t="s">
        <v>249</v>
      </c>
      <c r="H22" t="s">
        <v>242</v>
      </c>
      <c r="I22" t="s">
        <v>232</v>
      </c>
      <c r="J22" s="11">
        <v>42978.416666666664</v>
      </c>
      <c r="K22" s="11">
        <f t="shared" si="0"/>
        <v>42978.458333333328</v>
      </c>
      <c r="L22" s="11">
        <v>42983.416666666664</v>
      </c>
    </row>
    <row r="23" spans="1:12" x14ac:dyDescent="0.2">
      <c r="A23" t="s">
        <v>286</v>
      </c>
      <c r="B23" t="str">
        <f t="shared" si="1"/>
        <v>NÃO CHEGOU</v>
      </c>
      <c r="C23" t="s">
        <v>250</v>
      </c>
      <c r="D23" s="12" t="s">
        <v>287</v>
      </c>
      <c r="E23" s="12" t="s">
        <v>262</v>
      </c>
      <c r="F23" t="s">
        <v>19</v>
      </c>
      <c r="G23" s="10" t="s">
        <v>249</v>
      </c>
      <c r="H23" t="s">
        <v>242</v>
      </c>
      <c r="I23" t="s">
        <v>232</v>
      </c>
      <c r="J23" s="11">
        <v>42978.458333333336</v>
      </c>
      <c r="K23" s="11">
        <f t="shared" si="0"/>
        <v>42978.5</v>
      </c>
      <c r="L23" s="11">
        <v>42983.458333333336</v>
      </c>
    </row>
    <row r="24" spans="1:12" x14ac:dyDescent="0.2">
      <c r="A24" t="s">
        <v>288</v>
      </c>
      <c r="B24" t="str">
        <f t="shared" si="1"/>
        <v>NÃO CHEGOU</v>
      </c>
      <c r="C24" t="s">
        <v>250</v>
      </c>
      <c r="D24" s="12" t="s">
        <v>286</v>
      </c>
      <c r="E24" s="12" t="s">
        <v>262</v>
      </c>
      <c r="F24" t="s">
        <v>21</v>
      </c>
      <c r="G24" s="10" t="s">
        <v>249</v>
      </c>
      <c r="H24" t="s">
        <v>242</v>
      </c>
      <c r="I24" t="s">
        <v>232</v>
      </c>
      <c r="J24" s="11">
        <v>42978.541666666664</v>
      </c>
      <c r="K24" s="11">
        <f t="shared" si="0"/>
        <v>42978.583333333328</v>
      </c>
      <c r="L24" s="11">
        <v>42983.541666666664</v>
      </c>
    </row>
    <row r="25" spans="1:12" x14ac:dyDescent="0.2">
      <c r="A25" t="s">
        <v>267</v>
      </c>
      <c r="B25" t="str">
        <f t="shared" si="1"/>
        <v>NÃO CHEGOU</v>
      </c>
      <c r="C25" t="s">
        <v>250</v>
      </c>
      <c r="D25" s="12" t="s">
        <v>289</v>
      </c>
      <c r="E25" s="12" t="s">
        <v>262</v>
      </c>
      <c r="F25" t="s">
        <v>21</v>
      </c>
      <c r="G25" s="10">
        <v>0.16666666666666666</v>
      </c>
      <c r="H25" t="s">
        <v>242</v>
      </c>
      <c r="I25" t="s">
        <v>232</v>
      </c>
      <c r="J25" s="11">
        <v>42978.583333333336</v>
      </c>
      <c r="K25" s="11">
        <f t="shared" si="0"/>
        <v>42978.75</v>
      </c>
      <c r="L25" s="11">
        <v>42983.583333333336</v>
      </c>
    </row>
    <row r="26" spans="1:12" x14ac:dyDescent="0.2">
      <c r="A26" t="s">
        <v>267</v>
      </c>
      <c r="B26" t="str">
        <f t="shared" si="1"/>
        <v>NÃO CHEGOU</v>
      </c>
      <c r="C26" t="s">
        <v>250</v>
      </c>
      <c r="D26" s="12" t="s">
        <v>289</v>
      </c>
      <c r="E26" s="12" t="s">
        <v>262</v>
      </c>
      <c r="F26" t="s">
        <v>21</v>
      </c>
      <c r="G26" s="10">
        <v>0.16666666666666666</v>
      </c>
      <c r="H26" t="s">
        <v>242</v>
      </c>
      <c r="I26" t="s">
        <v>232</v>
      </c>
      <c r="J26" s="11">
        <v>42979.333333333336</v>
      </c>
      <c r="K26" s="11">
        <f t="shared" si="0"/>
        <v>42979.5</v>
      </c>
      <c r="L26" s="11">
        <v>42984.333333333336</v>
      </c>
    </row>
    <row r="27" spans="1:12" x14ac:dyDescent="0.2">
      <c r="A27" t="s">
        <v>267</v>
      </c>
      <c r="B27" t="str">
        <f t="shared" si="1"/>
        <v>NÃO CHEGOU</v>
      </c>
      <c r="C27" t="s">
        <v>250</v>
      </c>
      <c r="D27" s="12" t="s">
        <v>289</v>
      </c>
      <c r="E27" s="12" t="s">
        <v>262</v>
      </c>
      <c r="F27" t="s">
        <v>21</v>
      </c>
      <c r="G27" s="10">
        <v>0.16666666666666666</v>
      </c>
      <c r="H27" t="s">
        <v>242</v>
      </c>
      <c r="I27" t="s">
        <v>232</v>
      </c>
      <c r="J27" s="11">
        <v>42980.333333333336</v>
      </c>
      <c r="K27" s="11">
        <f t="shared" si="0"/>
        <v>42980.5</v>
      </c>
      <c r="L27" s="11">
        <v>42985.333333333336</v>
      </c>
    </row>
    <row r="28" spans="1:12" x14ac:dyDescent="0.2">
      <c r="A28" t="s">
        <v>267</v>
      </c>
      <c r="B28" t="str">
        <f t="shared" si="1"/>
        <v>NÃO CHEGOU</v>
      </c>
      <c r="C28" t="s">
        <v>250</v>
      </c>
      <c r="D28" s="12" t="s">
        <v>289</v>
      </c>
      <c r="E28" s="12" t="s">
        <v>262</v>
      </c>
      <c r="F28" t="s">
        <v>21</v>
      </c>
      <c r="G28" s="10">
        <v>0.16666666666666666</v>
      </c>
      <c r="H28" t="s">
        <v>242</v>
      </c>
      <c r="I28" t="s">
        <v>232</v>
      </c>
      <c r="J28" s="11">
        <v>42981.333333333336</v>
      </c>
      <c r="K28" s="11">
        <f t="shared" si="0"/>
        <v>42981.5</v>
      </c>
      <c r="L28" s="11">
        <v>42986.333333333336</v>
      </c>
    </row>
    <row r="29" spans="1:12" x14ac:dyDescent="0.2">
      <c r="A29" t="s">
        <v>267</v>
      </c>
      <c r="B29" t="str">
        <f t="shared" si="1"/>
        <v>NÃO CHEGOU</v>
      </c>
      <c r="C29" t="s">
        <v>250</v>
      </c>
      <c r="D29" s="12" t="s">
        <v>289</v>
      </c>
      <c r="E29" s="12" t="s">
        <v>262</v>
      </c>
      <c r="F29" t="s">
        <v>21</v>
      </c>
      <c r="G29" s="10">
        <v>0.16666666666666666</v>
      </c>
      <c r="H29" t="s">
        <v>242</v>
      </c>
      <c r="I29" t="s">
        <v>232</v>
      </c>
      <c r="J29" s="11">
        <v>42981.541666666664</v>
      </c>
      <c r="K29" s="11">
        <f t="shared" si="0"/>
        <v>42981.708333333328</v>
      </c>
      <c r="L29" s="11">
        <v>42986.541666666664</v>
      </c>
    </row>
    <row r="30" spans="1:12" x14ac:dyDescent="0.2">
      <c r="A30" t="s">
        <v>290</v>
      </c>
      <c r="B30" t="str">
        <f t="shared" si="1"/>
        <v>NÃO CHEGOU</v>
      </c>
      <c r="C30" t="s">
        <v>250</v>
      </c>
      <c r="D30" s="12" t="s">
        <v>291</v>
      </c>
      <c r="E30" s="12" t="s">
        <v>262</v>
      </c>
      <c r="F30" t="s">
        <v>17</v>
      </c>
      <c r="G30" s="10">
        <v>0.16666666666666666</v>
      </c>
      <c r="H30" t="s">
        <v>242</v>
      </c>
      <c r="I30" t="s">
        <v>232</v>
      </c>
      <c r="J30" s="11">
        <v>42982.333333333336</v>
      </c>
      <c r="K30" s="11">
        <f t="shared" si="0"/>
        <v>42982.5</v>
      </c>
      <c r="L30" s="11">
        <v>42987.333333333336</v>
      </c>
    </row>
    <row r="31" spans="1:12" x14ac:dyDescent="0.2">
      <c r="A31" t="s">
        <v>290</v>
      </c>
      <c r="B31" t="str">
        <f t="shared" si="1"/>
        <v>NÃO CHEGOU</v>
      </c>
      <c r="C31" t="s">
        <v>250</v>
      </c>
      <c r="D31" s="12" t="s">
        <v>291</v>
      </c>
      <c r="E31" s="12" t="s">
        <v>262</v>
      </c>
      <c r="F31" t="s">
        <v>17</v>
      </c>
      <c r="G31" s="10">
        <v>0.16666666666666666</v>
      </c>
      <c r="H31" t="s">
        <v>242</v>
      </c>
      <c r="I31" t="s">
        <v>232</v>
      </c>
      <c r="J31" s="11">
        <v>42983.333333333336</v>
      </c>
      <c r="K31" s="11">
        <f t="shared" si="0"/>
        <v>42983.5</v>
      </c>
      <c r="L31" s="11">
        <v>42988.333333333336</v>
      </c>
    </row>
    <row r="32" spans="1:12" x14ac:dyDescent="0.2">
      <c r="A32" t="s">
        <v>290</v>
      </c>
      <c r="B32" t="str">
        <f t="shared" si="1"/>
        <v>NÃO CHEGOU</v>
      </c>
      <c r="C32" t="s">
        <v>250</v>
      </c>
      <c r="D32" s="12" t="s">
        <v>291</v>
      </c>
      <c r="E32" s="12" t="s">
        <v>262</v>
      </c>
      <c r="F32" t="s">
        <v>17</v>
      </c>
      <c r="G32" s="10" t="s">
        <v>292</v>
      </c>
      <c r="H32" t="s">
        <v>242</v>
      </c>
      <c r="I32" t="s">
        <v>232</v>
      </c>
      <c r="J32" s="11">
        <v>42983.541666666664</v>
      </c>
      <c r="K32" s="11">
        <f t="shared" si="0"/>
        <v>42983.625</v>
      </c>
      <c r="L32" s="11">
        <v>42988.541666666664</v>
      </c>
    </row>
    <row r="33" spans="1:12" x14ac:dyDescent="0.2">
      <c r="A33" t="s">
        <v>293</v>
      </c>
      <c r="B33" t="str">
        <f t="shared" si="1"/>
        <v>NÃO CHEGOU</v>
      </c>
      <c r="C33" t="s">
        <v>250</v>
      </c>
      <c r="D33" s="12" t="s">
        <v>294</v>
      </c>
      <c r="E33" s="12" t="s">
        <v>262</v>
      </c>
      <c r="F33" t="s">
        <v>19</v>
      </c>
      <c r="G33" s="10">
        <v>0.16666666666666666</v>
      </c>
      <c r="H33" t="s">
        <v>242</v>
      </c>
      <c r="I33" t="s">
        <v>232</v>
      </c>
      <c r="J33" s="11">
        <v>42983.625</v>
      </c>
      <c r="K33" s="11">
        <f t="shared" si="0"/>
        <v>42983.791666666664</v>
      </c>
      <c r="L33" s="11">
        <v>42988.625</v>
      </c>
    </row>
    <row r="34" spans="1:12" x14ac:dyDescent="0.2">
      <c r="A34" t="s">
        <v>293</v>
      </c>
      <c r="B34" t="str">
        <f t="shared" si="1"/>
        <v>NÃO CHEGOU</v>
      </c>
      <c r="C34" t="s">
        <v>250</v>
      </c>
      <c r="D34" s="12" t="s">
        <v>294</v>
      </c>
      <c r="E34" s="12" t="s">
        <v>262</v>
      </c>
      <c r="F34" t="s">
        <v>19</v>
      </c>
      <c r="G34" s="10">
        <v>0.16666666666666666</v>
      </c>
      <c r="H34" t="s">
        <v>242</v>
      </c>
      <c r="I34" t="s">
        <v>232</v>
      </c>
      <c r="J34" s="11">
        <v>42984.333333333336</v>
      </c>
      <c r="K34" s="11">
        <f t="shared" si="0"/>
        <v>42984.5</v>
      </c>
      <c r="L34" s="11">
        <v>42989.333333333336</v>
      </c>
    </row>
    <row r="35" spans="1:12" x14ac:dyDescent="0.2">
      <c r="B35" t="str">
        <f t="shared" si="1"/>
        <v/>
      </c>
      <c r="J35" s="11"/>
      <c r="K35" s="11" t="str">
        <f t="shared" si="0"/>
        <v/>
      </c>
    </row>
    <row r="36" spans="1:12" x14ac:dyDescent="0.2">
      <c r="B36" t="str">
        <f t="shared" si="1"/>
        <v/>
      </c>
      <c r="J36" s="11"/>
      <c r="K36" s="11" t="str">
        <f t="shared" si="0"/>
        <v/>
      </c>
    </row>
    <row r="37" spans="1:12" x14ac:dyDescent="0.2">
      <c r="B37" t="str">
        <f t="shared" si="1"/>
        <v/>
      </c>
      <c r="J37" s="11"/>
      <c r="K37" s="11" t="str">
        <f t="shared" si="0"/>
        <v/>
      </c>
    </row>
    <row r="38" spans="1:12" x14ac:dyDescent="0.2">
      <c r="B38" t="str">
        <f t="shared" si="1"/>
        <v/>
      </c>
      <c r="J38" s="11"/>
      <c r="K38" s="11" t="str">
        <f t="shared" si="0"/>
        <v/>
      </c>
    </row>
    <row r="39" spans="1:12" x14ac:dyDescent="0.2">
      <c r="B39" t="str">
        <f t="shared" si="1"/>
        <v/>
      </c>
      <c r="J39" s="11"/>
      <c r="K39" s="11" t="str">
        <f t="shared" si="0"/>
        <v/>
      </c>
    </row>
    <row r="40" spans="1:12" x14ac:dyDescent="0.2">
      <c r="B40" t="str">
        <f t="shared" si="1"/>
        <v/>
      </c>
      <c r="J40" s="11"/>
      <c r="K40" s="11" t="str">
        <f t="shared" si="0"/>
        <v/>
      </c>
    </row>
    <row r="41" spans="1:12" x14ac:dyDescent="0.2">
      <c r="B41" t="str">
        <f t="shared" si="1"/>
        <v/>
      </c>
      <c r="J41" s="11"/>
      <c r="K41" s="11" t="str">
        <f t="shared" si="0"/>
        <v/>
      </c>
    </row>
    <row r="42" spans="1:12" x14ac:dyDescent="0.2">
      <c r="B42" t="str">
        <f t="shared" si="1"/>
        <v/>
      </c>
      <c r="J42" s="11"/>
      <c r="K42" s="11" t="str">
        <f t="shared" si="0"/>
        <v/>
      </c>
    </row>
    <row r="43" spans="1:12" x14ac:dyDescent="0.2">
      <c r="B43" t="str">
        <f t="shared" si="1"/>
        <v/>
      </c>
      <c r="J43" s="11"/>
      <c r="K43" s="11" t="str">
        <f t="shared" si="0"/>
        <v/>
      </c>
    </row>
    <row r="44" spans="1:12" x14ac:dyDescent="0.2">
      <c r="B44" t="str">
        <f t="shared" si="1"/>
        <v/>
      </c>
      <c r="J44" s="11"/>
      <c r="K44" s="11" t="str">
        <f t="shared" si="0"/>
        <v/>
      </c>
    </row>
    <row r="45" spans="1:12" x14ac:dyDescent="0.2">
      <c r="B45" t="str">
        <f t="shared" si="1"/>
        <v/>
      </c>
      <c r="J45" s="11"/>
      <c r="K45" s="11" t="str">
        <f t="shared" si="0"/>
        <v/>
      </c>
    </row>
    <row r="46" spans="1:12" x14ac:dyDescent="0.2">
      <c r="B46" t="str">
        <f t="shared" si="1"/>
        <v/>
      </c>
      <c r="J46" s="11"/>
      <c r="K46" s="11" t="str">
        <f t="shared" si="0"/>
        <v/>
      </c>
    </row>
    <row r="47" spans="1:12" x14ac:dyDescent="0.2">
      <c r="B47" t="str">
        <f t="shared" si="1"/>
        <v/>
      </c>
      <c r="J47" s="11"/>
      <c r="K47" s="11" t="str">
        <f t="shared" si="0"/>
        <v/>
      </c>
    </row>
    <row r="48" spans="1:12" x14ac:dyDescent="0.2">
      <c r="B48" t="str">
        <f t="shared" si="1"/>
        <v/>
      </c>
      <c r="J48" s="11"/>
      <c r="K48" s="11" t="str">
        <f t="shared" si="0"/>
        <v/>
      </c>
    </row>
    <row r="49" spans="2:11" x14ac:dyDescent="0.2">
      <c r="B49" t="str">
        <f t="shared" si="1"/>
        <v/>
      </c>
      <c r="J49" s="11"/>
      <c r="K49" s="11" t="str">
        <f t="shared" si="0"/>
        <v/>
      </c>
    </row>
    <row r="50" spans="2:11" x14ac:dyDescent="0.2">
      <c r="B50" t="str">
        <f t="shared" si="1"/>
        <v/>
      </c>
      <c r="J50" s="11"/>
      <c r="K50" s="11" t="str">
        <f t="shared" si="0"/>
        <v/>
      </c>
    </row>
    <row r="51" spans="2:11" x14ac:dyDescent="0.2">
      <c r="B51" t="str">
        <f t="shared" si="1"/>
        <v/>
      </c>
      <c r="J51" s="11"/>
      <c r="K51" s="11" t="str">
        <f t="shared" si="0"/>
        <v/>
      </c>
    </row>
    <row r="52" spans="2:11" x14ac:dyDescent="0.2">
      <c r="B52" t="str">
        <f t="shared" si="1"/>
        <v/>
      </c>
      <c r="J52" s="11"/>
      <c r="K52" s="11" t="str">
        <f t="shared" si="0"/>
        <v/>
      </c>
    </row>
    <row r="53" spans="2:11" x14ac:dyDescent="0.2">
      <c r="B53" t="str">
        <f t="shared" si="1"/>
        <v/>
      </c>
      <c r="J53" s="11"/>
      <c r="K53" s="11" t="str">
        <f t="shared" si="0"/>
        <v/>
      </c>
    </row>
    <row r="54" spans="2:11" x14ac:dyDescent="0.2">
      <c r="B54" t="str">
        <f t="shared" si="1"/>
        <v/>
      </c>
      <c r="J54" s="11"/>
      <c r="K54" s="11" t="str">
        <f t="shared" si="0"/>
        <v/>
      </c>
    </row>
    <row r="55" spans="2:11" x14ac:dyDescent="0.2">
      <c r="B55" t="str">
        <f t="shared" si="1"/>
        <v/>
      </c>
      <c r="J55" s="11"/>
      <c r="K55" s="11" t="str">
        <f t="shared" si="0"/>
        <v/>
      </c>
    </row>
    <row r="56" spans="2:11" x14ac:dyDescent="0.2">
      <c r="B56" t="str">
        <f t="shared" si="1"/>
        <v/>
      </c>
      <c r="J56" s="11"/>
      <c r="K56" s="11" t="str">
        <f t="shared" si="0"/>
        <v/>
      </c>
    </row>
    <row r="57" spans="2:11" x14ac:dyDescent="0.2">
      <c r="B57" t="str">
        <f t="shared" si="1"/>
        <v/>
      </c>
      <c r="J57" s="11"/>
      <c r="K57" s="11" t="str">
        <f t="shared" si="0"/>
        <v/>
      </c>
    </row>
    <row r="58" spans="2:11" x14ac:dyDescent="0.2">
      <c r="B58" t="str">
        <f t="shared" si="1"/>
        <v/>
      </c>
      <c r="J58" s="11"/>
      <c r="K58" s="11" t="str">
        <f t="shared" si="0"/>
        <v/>
      </c>
    </row>
    <row r="59" spans="2:11" x14ac:dyDescent="0.2">
      <c r="B59" t="str">
        <f t="shared" si="1"/>
        <v/>
      </c>
      <c r="J59" s="11"/>
      <c r="K59" s="11" t="str">
        <f t="shared" si="0"/>
        <v/>
      </c>
    </row>
    <row r="60" spans="2:11" x14ac:dyDescent="0.2">
      <c r="B60" t="str">
        <f t="shared" si="1"/>
        <v/>
      </c>
      <c r="J60" s="11"/>
      <c r="K60" s="11" t="str">
        <f t="shared" si="0"/>
        <v/>
      </c>
    </row>
    <row r="61" spans="2:11" x14ac:dyDescent="0.2">
      <c r="B61" t="str">
        <f t="shared" si="1"/>
        <v/>
      </c>
      <c r="J61" s="11"/>
      <c r="K61" s="11" t="str">
        <f t="shared" si="0"/>
        <v/>
      </c>
    </row>
    <row r="62" spans="2:11" x14ac:dyDescent="0.2">
      <c r="B62" t="str">
        <f t="shared" si="1"/>
        <v/>
      </c>
      <c r="J62" s="11"/>
      <c r="K62" s="11" t="str">
        <f t="shared" si="0"/>
        <v/>
      </c>
    </row>
    <row r="63" spans="2:11" x14ac:dyDescent="0.2">
      <c r="B63" t="str">
        <f t="shared" si="1"/>
        <v/>
      </c>
      <c r="J63" s="11"/>
      <c r="K63" s="11" t="str">
        <f t="shared" si="0"/>
        <v/>
      </c>
    </row>
    <row r="64" spans="2:11" x14ac:dyDescent="0.2">
      <c r="B64" t="str">
        <f t="shared" si="1"/>
        <v/>
      </c>
      <c r="J64" s="11"/>
      <c r="K64" s="11" t="str">
        <f t="shared" si="0"/>
        <v/>
      </c>
    </row>
    <row r="65" spans="2:11" x14ac:dyDescent="0.2">
      <c r="B65" t="str">
        <f t="shared" si="1"/>
        <v/>
      </c>
      <c r="J65" s="11"/>
      <c r="K65" s="11" t="str">
        <f t="shared" si="0"/>
        <v/>
      </c>
    </row>
    <row r="66" spans="2:11" x14ac:dyDescent="0.2">
      <c r="B66" t="str">
        <f t="shared" si="1"/>
        <v/>
      </c>
      <c r="J66" s="11"/>
      <c r="K66" s="11" t="str">
        <f t="shared" si="0"/>
        <v/>
      </c>
    </row>
    <row r="67" spans="2:11" x14ac:dyDescent="0.2">
      <c r="B67" t="str">
        <f t="shared" si="1"/>
        <v/>
      </c>
      <c r="J67" s="11"/>
      <c r="K67" s="11" t="str">
        <f t="shared" si="0"/>
        <v/>
      </c>
    </row>
    <row r="68" spans="2:11" x14ac:dyDescent="0.2">
      <c r="B68" t="str">
        <f t="shared" ref="B68:B131" si="2">IF(A68="","",IF(E68="","NÃO CHEGOU",IF(K68&gt;$N$1,"AGUARDANDO NO LABORATORIO",IF(M68="","ATRASADO","FINALIZADO"))))</f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si="2"/>
        <v/>
      </c>
      <c r="J131" s="11"/>
      <c r="K131" s="11" t="str">
        <f t="shared" si="3"/>
        <v/>
      </c>
    </row>
    <row r="132" spans="2:11" x14ac:dyDescent="0.2">
      <c r="B132" t="str">
        <f t="shared" ref="B132:B195" si="4">IF(A132="","",IF(E132="","NÃO CHEGOU",IF(K132&gt;$N$1,"AGUARDANDO NO LABORATORIO",IF(M132="","ATRASADO","FINALIZADO"))))</f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si="4"/>
        <v/>
      </c>
      <c r="J195" s="11"/>
      <c r="K195" s="11" t="str">
        <f t="shared" si="5"/>
        <v/>
      </c>
    </row>
    <row r="196" spans="2:11" x14ac:dyDescent="0.2">
      <c r="B196" t="str">
        <f t="shared" ref="B196:B259" si="6">IF(A196="","",IF(E196="","NÃO CHEGOU",IF(K196&gt;$N$1,"AGUARDANDO NO LABORATORIO",IF(M196="","ATRASADO","FINALIZADO"))))</f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si="6"/>
        <v/>
      </c>
      <c r="J259" s="11"/>
      <c r="K259" s="11" t="str">
        <f t="shared" si="7"/>
        <v/>
      </c>
    </row>
    <row r="260" spans="2:11" x14ac:dyDescent="0.2">
      <c r="B260" t="str">
        <f t="shared" ref="B260:B323" si="8">IF(A260="","",IF(E260="","NÃO CHEGOU",IF(K260&gt;$N$1,"AGUARDANDO NO LABORATORIO",IF(M260="","ATRASADO","FINALIZADO"))))</f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si="8"/>
        <v/>
      </c>
      <c r="J323" s="11"/>
      <c r="K323" s="11" t="str">
        <f t="shared" si="9"/>
        <v/>
      </c>
    </row>
    <row r="324" spans="2:11" x14ac:dyDescent="0.2">
      <c r="B324" t="str">
        <f t="shared" ref="B324:B387" si="10">IF(A324="","",IF(E324="","NÃO CHEGOU",IF(K324&gt;$N$1,"AGUARDANDO NO LABORATORIO",IF(M324="","ATRASADO","FINALIZADO"))))</f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si="10"/>
        <v/>
      </c>
      <c r="J387" s="11"/>
      <c r="K387" s="11" t="str">
        <f t="shared" si="11"/>
        <v/>
      </c>
    </row>
    <row r="388" spans="2:11" x14ac:dyDescent="0.2">
      <c r="B388" t="str">
        <f t="shared" ref="B388:B451" si="12">IF(A388="","",IF(E388="","NÃO CHEGOU",IF(K388&gt;$N$1,"AGUARDANDO NO LABORATORIO",IF(M388="","ATRASADO","FINALIZADO"))))</f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si="12"/>
        <v/>
      </c>
      <c r="J451" s="11"/>
      <c r="K451" s="11" t="str">
        <f t="shared" si="13"/>
        <v/>
      </c>
    </row>
    <row r="452" spans="2:11" x14ac:dyDescent="0.2">
      <c r="B452" t="str">
        <f t="shared" ref="B452:B515" si="14">IF(A452="","",IF(E452="","NÃO CHEGOU",IF(K452&gt;$N$1,"AGUARDANDO NO LABORATORIO",IF(M452="","ATRASADO","FINALIZADO"))))</f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si="14"/>
        <v/>
      </c>
      <c r="J515" s="11"/>
      <c r="K515" s="11" t="str">
        <f t="shared" si="15"/>
        <v/>
      </c>
    </row>
    <row r="516" spans="2:11" x14ac:dyDescent="0.2">
      <c r="B516" t="str">
        <f t="shared" ref="B516:B579" si="16">IF(A516="","",IF(E516="","NÃO CHEGOU",IF(K516&gt;$N$1,"AGUARDANDO NO LABORATORIO",IF(M516="","ATRASADO","FINALIZADO"))))</f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si="16"/>
        <v/>
      </c>
      <c r="J579" s="11"/>
      <c r="K579" s="11" t="str">
        <f t="shared" si="17"/>
        <v/>
      </c>
    </row>
    <row r="580" spans="2:11" x14ac:dyDescent="0.2">
      <c r="B580" t="str">
        <f t="shared" ref="B580:B643" si="18">IF(A580="","",IF(E580="","NÃO CHEGOU",IF(K580&gt;$N$1,"AGUARDANDO NO LABORATORIO",IF(M580="","ATRASADO","FINALIZADO"))))</f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si="18"/>
        <v/>
      </c>
      <c r="J643" s="11"/>
      <c r="K643" s="11" t="str">
        <f t="shared" si="19"/>
        <v/>
      </c>
    </row>
    <row r="644" spans="2:11" x14ac:dyDescent="0.2">
      <c r="B644" t="str">
        <f t="shared" ref="B644:B707" si="20">IF(A644="","",IF(E644="","NÃO CHEGOU",IF(K644&gt;$N$1,"AGUARDANDO NO LABORATORIO",IF(M644="","ATRASADO","FINALIZADO"))))</f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si="20"/>
        <v/>
      </c>
      <c r="J707" s="11"/>
      <c r="K707" s="11" t="str">
        <f t="shared" si="21"/>
        <v/>
      </c>
    </row>
    <row r="708" spans="2:11" x14ac:dyDescent="0.2">
      <c r="B708" t="str">
        <f t="shared" ref="B708:B771" si="22">IF(A708="","",IF(E708="","NÃO CHEGOU",IF(K708&gt;$N$1,"AGUARDANDO NO LABORATORIO",IF(M708="","ATRASADO","FINALIZADO"))))</f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si="22"/>
        <v/>
      </c>
      <c r="J771" s="11"/>
      <c r="K771" s="11" t="str">
        <f t="shared" si="23"/>
        <v/>
      </c>
    </row>
    <row r="772" spans="2:11" x14ac:dyDescent="0.2">
      <c r="B772" t="str">
        <f t="shared" ref="B772:B835" si="24">IF(A772="","",IF(E772="","NÃO CHEGOU",IF(K772&gt;$N$1,"AGUARDANDO NO LABORATORIO",IF(M772="","ATRASADO","FINALIZADO"))))</f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si="24"/>
        <v/>
      </c>
      <c r="J835" s="11"/>
      <c r="K835" s="11" t="str">
        <f t="shared" si="25"/>
        <v/>
      </c>
    </row>
    <row r="836" spans="2:11" x14ac:dyDescent="0.2">
      <c r="B836" t="str">
        <f t="shared" ref="B836:B899" si="26">IF(A836="","",IF(E836="","NÃO CHEGOU",IF(K836&gt;$N$1,"AGUARDANDO NO LABORATORIO",IF(M836="","ATRASADO","FINALIZADO"))))</f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si="26"/>
        <v/>
      </c>
      <c r="J899" s="11"/>
      <c r="K899" s="11" t="str">
        <f t="shared" si="27"/>
        <v/>
      </c>
    </row>
    <row r="900" spans="2:11" x14ac:dyDescent="0.2">
      <c r="B900" t="str">
        <f t="shared" ref="B900:B963" si="28">IF(A900="","",IF(E900="","NÃO CHEGOU",IF(K900&gt;$N$1,"AGUARDANDO NO LABORATORIO",IF(M900="","ATRASADO","FINALIZADO"))))</f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si="28"/>
        <v/>
      </c>
      <c r="J963" s="11"/>
      <c r="K963" s="11" t="str">
        <f t="shared" si="29"/>
        <v/>
      </c>
    </row>
    <row r="964" spans="2:11" x14ac:dyDescent="0.2">
      <c r="B964" t="str">
        <f t="shared" ref="B964:B1027" si="30">IF(A964="","",IF(E964="","NÃO CHEGOU",IF(K964&gt;$N$1,"AGUARDANDO NO LABORATORIO",IF(M964="","ATRASADO","FINALIZADO"))))</f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si="30"/>
        <v/>
      </c>
      <c r="J1027" s="11"/>
      <c r="K1027" s="11" t="str">
        <f t="shared" si="31"/>
        <v/>
      </c>
    </row>
    <row r="1028" spans="2:11" x14ac:dyDescent="0.2">
      <c r="B1028" t="str">
        <f t="shared" ref="B1028:B1091" si="32">IF(A1028="","",IF(E1028="","NÃO CHEGOU",IF(K1028&gt;$N$1,"AGUARDANDO NO LABORATORIO",IF(M1028="","ATRASADO","FINALIZADO"))))</f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si="32"/>
        <v/>
      </c>
      <c r="J1091" s="11"/>
      <c r="K1091" s="11" t="str">
        <f t="shared" si="33"/>
        <v/>
      </c>
    </row>
    <row r="1092" spans="2:11" x14ac:dyDescent="0.2">
      <c r="B1092" t="str">
        <f t="shared" ref="B1092:B1155" si="34">IF(A1092="","",IF(E1092="","NÃO CHEGOU",IF(K1092&gt;$N$1,"AGUARDANDO NO LABORATORIO",IF(M1092="","ATRASADO","FINALIZADO"))))</f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si="34"/>
        <v/>
      </c>
      <c r="J1155" s="11"/>
      <c r="K1155" s="11" t="str">
        <f t="shared" si="35"/>
        <v/>
      </c>
    </row>
    <row r="1156" spans="2:11" x14ac:dyDescent="0.2">
      <c r="B1156" t="str">
        <f t="shared" ref="B1156:B1219" si="36">IF(A1156="","",IF(E1156="","NÃO CHEGOU",IF(K1156&gt;$N$1,"AGUARDANDO NO LABORATORIO",IF(M1156="","ATRASADO","FINALIZADO"))))</f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si="36"/>
        <v/>
      </c>
      <c r="J1219" s="11"/>
      <c r="K1219" s="11" t="str">
        <f t="shared" si="37"/>
        <v/>
      </c>
    </row>
    <row r="1220" spans="2:11" x14ac:dyDescent="0.2">
      <c r="B1220" t="str">
        <f t="shared" ref="B1220:B1283" si="38">IF(A1220="","",IF(E1220="","NÃO CHEGOU",IF(K1220&gt;$N$1,"AGUARDANDO NO LABORATORIO",IF(M1220="","ATRASADO","FINALIZADO"))))</f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si="38"/>
        <v/>
      </c>
      <c r="J1283" s="11"/>
      <c r="K1283" s="11" t="str">
        <f t="shared" si="39"/>
        <v/>
      </c>
    </row>
    <row r="1284" spans="2:11" x14ac:dyDescent="0.2">
      <c r="B1284" t="str">
        <f t="shared" ref="B1284:B1347" si="40">IF(A1284="","",IF(E1284="","NÃO CHEGOU",IF(K1284&gt;$N$1,"AGUARDANDO NO LABORATORIO",IF(M1284="","ATRASADO","FINALIZADO"))))</f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si="40"/>
        <v/>
      </c>
      <c r="J1347" s="11"/>
      <c r="K1347" s="11" t="str">
        <f t="shared" si="41"/>
        <v/>
      </c>
    </row>
    <row r="1348" spans="2:11" x14ac:dyDescent="0.2">
      <c r="B1348" t="str">
        <f t="shared" ref="B1348:B1411" si="42">IF(A1348="","",IF(E1348="","NÃO CHEGOU",IF(K1348&gt;$N$1,"AGUARDANDO NO LABORATORIO",IF(M1348="","ATRASADO","FINALIZADO"))))</f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si="42"/>
        <v/>
      </c>
      <c r="J1411" s="11"/>
      <c r="K1411" s="11" t="str">
        <f t="shared" si="43"/>
        <v/>
      </c>
    </row>
    <row r="1412" spans="2:11" x14ac:dyDescent="0.2">
      <c r="B1412" t="str">
        <f t="shared" ref="B1412:B1475" si="44">IF(A1412="","",IF(E1412="","NÃO CHEGOU",IF(K1412&gt;$N$1,"AGUARDANDO NO LABORATORIO",IF(M1412="","ATRASADO","FINALIZADO"))))</f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si="44"/>
        <v/>
      </c>
      <c r="J1475" s="11"/>
      <c r="K1475" s="11" t="str">
        <f t="shared" si="45"/>
        <v/>
      </c>
    </row>
    <row r="1476" spans="2:11" x14ac:dyDescent="0.2">
      <c r="B1476" t="str">
        <f t="shared" ref="B1476:B1539" si="46">IF(A1476="","",IF(E1476="","NÃO CHEGOU",IF(K1476&gt;$N$1,"AGUARDANDO NO LABORATORIO",IF(M1476="","ATRASADO","FINALIZADO"))))</f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si="46"/>
        <v/>
      </c>
      <c r="J1539" s="11"/>
      <c r="K1539" s="11" t="str">
        <f t="shared" si="47"/>
        <v/>
      </c>
    </row>
    <row r="1540" spans="2:11" x14ac:dyDescent="0.2">
      <c r="B1540" t="str">
        <f t="shared" ref="B1540:B1603" si="48">IF(A1540="","",IF(E1540="","NÃO CHEGOU",IF(K1540&gt;$N$1,"AGUARDANDO NO LABORATORIO",IF(M1540="","ATRASADO","FINALIZADO"))))</f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si="48"/>
        <v/>
      </c>
      <c r="J1603" s="11"/>
      <c r="K1603" s="11" t="str">
        <f t="shared" si="49"/>
        <v/>
      </c>
    </row>
    <row r="1604" spans="2:11" x14ac:dyDescent="0.2">
      <c r="B1604" t="str">
        <f t="shared" ref="B1604:B1667" si="50">IF(A1604="","",IF(E1604="","NÃO CHEGOU",IF(K1604&gt;$N$1,"AGUARDANDO NO LABORATORIO",IF(M1604="","ATRASADO","FINALIZADO"))))</f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si="50"/>
        <v/>
      </c>
      <c r="K1667" s="11" t="str">
        <f t="shared" si="51"/>
        <v/>
      </c>
    </row>
    <row r="1668" spans="2:11" x14ac:dyDescent="0.2">
      <c r="B1668" t="str">
        <f t="shared" ref="B1668:B1731" si="52">IF(A1668="","",IF(E1668="","NÃO CHEGOU",IF(K1668&gt;$N$1,"AGUARDANDO NO LABORATORIO",IF(M1668="","ATRASADO","FINALIZADO"))))</f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si="52"/>
        <v/>
      </c>
      <c r="K1731" s="11" t="str">
        <f t="shared" si="53"/>
        <v/>
      </c>
    </row>
    <row r="1732" spans="2:11" x14ac:dyDescent="0.2">
      <c r="B1732" t="str">
        <f t="shared" ref="B1732:B1795" si="54">IF(A1732="","",IF(E1732="","NÃO CHEGOU",IF(K1732&gt;$N$1,"AGUARDANDO NO LABORATORIO",IF(M1732="","ATRASADO","FINALIZADO"))))</f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si="54"/>
        <v/>
      </c>
      <c r="K1795" s="11" t="str">
        <f t="shared" si="55"/>
        <v/>
      </c>
    </row>
    <row r="1796" spans="2:11" x14ac:dyDescent="0.2">
      <c r="B1796" t="str">
        <f t="shared" ref="B1796:B1859" si="56">IF(A1796="","",IF(E1796="","NÃO CHEGOU",IF(K1796&gt;$N$1,"AGUARDANDO NO LABORATORIO",IF(M1796="","ATRASADO","FINALIZADO"))))</f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si="56"/>
        <v/>
      </c>
      <c r="K1859" s="11" t="str">
        <f t="shared" si="57"/>
        <v/>
      </c>
    </row>
    <row r="1860" spans="2:11" x14ac:dyDescent="0.2">
      <c r="B1860" t="str">
        <f t="shared" ref="B1860:B1923" si="58">IF(A1860="","",IF(E1860="","NÃO CHEGOU",IF(K1860&gt;$N$1,"AGUARDANDO NO LABORATORIO",IF(M1860="","ATRASADO","FINALIZADO"))))</f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si="58"/>
        <v/>
      </c>
      <c r="K1923" s="11" t="str">
        <f t="shared" si="59"/>
        <v/>
      </c>
    </row>
    <row r="1924" spans="2:11" x14ac:dyDescent="0.2">
      <c r="B1924" t="str">
        <f t="shared" ref="B1924:B1987" si="60">IF(A1924="","",IF(E1924="","NÃO CHEGOU",IF(K1924&gt;$N$1,"AGUARDANDO NO LABORATORIO",IF(M1924="","ATRASADO","FINALIZADO"))))</f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si="60"/>
        <v/>
      </c>
      <c r="K1987" s="11" t="str">
        <f t="shared" si="61"/>
        <v/>
      </c>
    </row>
    <row r="1988" spans="2:11" x14ac:dyDescent="0.2">
      <c r="B1988" t="str">
        <f t="shared" ref="B1988:B2051" si="62">IF(A1988="","",IF(E1988="","NÃO CHEGOU",IF(K1988&gt;$N$1,"AGUARDANDO NO LABORATORIO",IF(M1988="","ATRASADO","FINALIZADO"))))</f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si="62"/>
        <v/>
      </c>
      <c r="K2051" s="11" t="str">
        <f t="shared" si="63"/>
        <v/>
      </c>
    </row>
    <row r="2052" spans="2:11" x14ac:dyDescent="0.2">
      <c r="B2052" t="str">
        <f t="shared" ref="B2052:B2115" si="64">IF(A2052="","",IF(E2052="","NÃO CHEGOU",IF(K2052&gt;$N$1,"AGUARDANDO NO LABORATORIO",IF(M2052="","ATRASADO","FINALIZADO"))))</f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si="64"/>
        <v/>
      </c>
      <c r="K2115" s="11" t="str">
        <f t="shared" si="65"/>
        <v/>
      </c>
    </row>
    <row r="2116" spans="2:11" x14ac:dyDescent="0.2">
      <c r="B2116" t="str">
        <f t="shared" ref="B2116:B2179" si="66">IF(A2116="","",IF(E2116="","NÃO CHEGOU",IF(K2116&gt;$N$1,"AGUARDANDO NO LABORATORIO",IF(M2116="","ATRASADO","FINALIZADO"))))</f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si="66"/>
        <v/>
      </c>
      <c r="K2179" s="11" t="str">
        <f t="shared" si="67"/>
        <v/>
      </c>
    </row>
    <row r="2180" spans="2:11" x14ac:dyDescent="0.2">
      <c r="B2180" t="str">
        <f t="shared" ref="B2180:B2243" si="68">IF(A2180="","",IF(E2180="","NÃO CHEGOU",IF(K2180&gt;$N$1,"AGUARDANDO NO LABORATORIO",IF(M2180="","ATRASADO","FINALIZADO"))))</f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si="68"/>
        <v/>
      </c>
      <c r="K2243" s="11" t="str">
        <f t="shared" si="69"/>
        <v/>
      </c>
    </row>
    <row r="2244" spans="2:11" x14ac:dyDescent="0.2">
      <c r="B2244" t="str">
        <f t="shared" ref="B2244:B2307" si="70">IF(A2244="","",IF(E2244="","NÃO CHEGOU",IF(K2244&gt;$N$1,"AGUARDANDO NO LABORATORIO",IF(M2244="","ATRASADO","FINALIZADO"))))</f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si="70"/>
        <v/>
      </c>
      <c r="K2307" s="11" t="str">
        <f t="shared" si="71"/>
        <v/>
      </c>
    </row>
    <row r="2308" spans="2:11" x14ac:dyDescent="0.2">
      <c r="B2308" t="str">
        <f t="shared" ref="B2308:B2371" si="72">IF(A2308="","",IF(E2308="","NÃO CHEGOU",IF(K2308&gt;$N$1,"AGUARDANDO NO LABORATORIO",IF(M2308="","ATRASADO","FINALIZADO"))))</f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si="72"/>
        <v/>
      </c>
      <c r="K2371" s="11" t="str">
        <f t="shared" si="73"/>
        <v/>
      </c>
    </row>
    <row r="2372" spans="2:11" x14ac:dyDescent="0.2">
      <c r="B2372" t="str">
        <f t="shared" ref="B2372:B2435" si="74">IF(A2372="","",IF(E2372="","NÃO CHEGOU",IF(K2372&gt;$N$1,"AGUARDANDO NO LABORATORIO",IF(M2372="","ATRASADO","FINALIZADO"))))</f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si="74"/>
        <v/>
      </c>
      <c r="K2435" s="11" t="str">
        <f t="shared" si="75"/>
        <v/>
      </c>
    </row>
    <row r="2436" spans="2:11" x14ac:dyDescent="0.2">
      <c r="B2436" t="str">
        <f t="shared" ref="B2436:B2499" si="76">IF(A2436="","",IF(E2436="","NÃO CHEGOU",IF(K2436&gt;$N$1,"AGUARDANDO NO LABORATORIO",IF(M2436="","ATRASADO","FINALIZADO"))))</f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si="76"/>
        <v/>
      </c>
      <c r="K2499" s="11" t="str">
        <f t="shared" si="77"/>
        <v/>
      </c>
    </row>
    <row r="2500" spans="2:11" x14ac:dyDescent="0.2">
      <c r="B2500" t="str">
        <f t="shared" ref="B2500:B2563" si="78">IF(A2500="","",IF(E2500="","NÃO CHEGOU",IF(K2500&gt;$N$1,"AGUARDANDO NO LABORATORIO",IF(M2500="","ATRASADO","FINALIZADO"))))</f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si="78"/>
        <v/>
      </c>
      <c r="K2563" s="11" t="str">
        <f t="shared" si="79"/>
        <v/>
      </c>
    </row>
    <row r="2564" spans="2:11" x14ac:dyDescent="0.2">
      <c r="B2564" t="str">
        <f t="shared" ref="B2564:B2627" si="80">IF(A2564="","",IF(E2564="","NÃO CHEGOU",IF(K2564&gt;$N$1,"AGUARDANDO NO LABORATORIO",IF(M2564="","ATRASADO","FINALIZADO"))))</f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si="80"/>
        <v/>
      </c>
      <c r="K2627" s="11" t="str">
        <f t="shared" si="81"/>
        <v/>
      </c>
    </row>
    <row r="2628" spans="2:11" x14ac:dyDescent="0.2">
      <c r="B2628" t="str">
        <f t="shared" ref="B2628:B2691" si="82">IF(A2628="","",IF(E2628="","NÃO CHEGOU",IF(K2628&gt;$N$1,"AGUARDANDO NO LABORATORIO",IF(M2628="","ATRASADO","FINALIZADO"))))</f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si="82"/>
        <v/>
      </c>
      <c r="K2691" s="11" t="str">
        <f t="shared" si="83"/>
        <v/>
      </c>
    </row>
    <row r="2692" spans="2:11" x14ac:dyDescent="0.2">
      <c r="B2692" t="str">
        <f t="shared" ref="B2692:B2755" si="84">IF(A2692="","",IF(E2692="","NÃO CHEGOU",IF(K2692&gt;$N$1,"AGUARDANDO NO LABORATORIO",IF(M2692="","ATRASADO","FINALIZADO"))))</f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si="84"/>
        <v/>
      </c>
      <c r="K2755" s="11" t="str">
        <f t="shared" si="85"/>
        <v/>
      </c>
    </row>
    <row r="2756" spans="2:11" x14ac:dyDescent="0.2">
      <c r="B2756" t="str">
        <f t="shared" ref="B2756:B2819" si="86">IF(A2756="","",IF(E2756="","NÃO CHEGOU",IF(K2756&gt;$N$1,"AGUARDANDO NO LABORATORIO",IF(M2756="","ATRASADO","FINALIZADO"))))</f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si="86"/>
        <v/>
      </c>
      <c r="K2819" s="11" t="str">
        <f t="shared" si="87"/>
        <v/>
      </c>
    </row>
    <row r="2820" spans="2:11" x14ac:dyDescent="0.2">
      <c r="B2820" t="str">
        <f t="shared" ref="B2820:B2883" si="88">IF(A2820="","",IF(E2820="","NÃO CHEGOU",IF(K2820&gt;$N$1,"AGUARDANDO NO LABORATORIO",IF(M2820="","ATRASADO","FINALIZADO"))))</f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si="88"/>
        <v/>
      </c>
      <c r="K2883" s="11" t="str">
        <f t="shared" si="89"/>
        <v/>
      </c>
    </row>
    <row r="2884" spans="2:11" x14ac:dyDescent="0.2">
      <c r="B2884" t="str">
        <f t="shared" ref="B2884:B2947" si="90">IF(A2884="","",IF(E2884="","NÃO CHEGOU",IF(K2884&gt;$N$1,"AGUARDANDO NO LABORATORIO",IF(M2884="","ATRASADO","FINALIZADO"))))</f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si="90"/>
        <v/>
      </c>
      <c r="K2947" s="11" t="str">
        <f t="shared" si="91"/>
        <v/>
      </c>
    </row>
    <row r="2948" spans="2:11" x14ac:dyDescent="0.2">
      <c r="B2948" t="str">
        <f t="shared" ref="B2948:B3011" si="92">IF(A2948="","",IF(E2948="","NÃO CHEGOU",IF(K2948&gt;$N$1,"AGUARDANDO NO LABORATORIO",IF(M2948="","ATRASADO","FINALIZADO"))))</f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si="92"/>
        <v/>
      </c>
      <c r="K3011" s="11" t="str">
        <f t="shared" si="93"/>
        <v/>
      </c>
    </row>
    <row r="3012" spans="2:11" x14ac:dyDescent="0.2">
      <c r="B3012" t="str">
        <f t="shared" ref="B3012:B3075" si="94">IF(A3012="","",IF(E3012="","NÃO CHEGOU",IF(K3012&gt;$N$1,"AGUARDANDO NO LABORATORIO",IF(M3012="","ATRASADO","FINALIZADO"))))</f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si="94"/>
        <v/>
      </c>
      <c r="K3075" s="11" t="str">
        <f t="shared" si="95"/>
        <v/>
      </c>
    </row>
    <row r="3076" spans="2:11" x14ac:dyDescent="0.2">
      <c r="B3076" t="str">
        <f t="shared" ref="B3076:B3139" si="96">IF(A3076="","",IF(E3076="","NÃO CHEGOU",IF(K3076&gt;$N$1,"AGUARDANDO NO LABORATORIO",IF(M3076="","ATRASADO","FINALIZADO"))))</f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si="96"/>
        <v/>
      </c>
      <c r="K3139" s="11" t="str">
        <f t="shared" si="97"/>
        <v/>
      </c>
    </row>
    <row r="3140" spans="2:11" x14ac:dyDescent="0.2">
      <c r="B3140" t="str">
        <f t="shared" ref="B3140:B3203" si="98">IF(A3140="","",IF(E3140="","NÃO CHEGOU",IF(K3140&gt;$N$1,"AGUARDANDO NO LABORATORIO",IF(M3140="","ATRASADO","FINALIZADO"))))</f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si="98"/>
        <v/>
      </c>
      <c r="K3203" s="11" t="str">
        <f t="shared" si="99"/>
        <v/>
      </c>
    </row>
    <row r="3204" spans="2:11" x14ac:dyDescent="0.2">
      <c r="B3204" t="str">
        <f t="shared" ref="B3204:B3267" si="100">IF(A3204="","",IF(E3204="","NÃO CHEGOU",IF(K3204&gt;$N$1,"AGUARDANDO NO LABORATORIO",IF(M3204="","ATRASADO","FINALIZADO"))))</f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si="100"/>
        <v/>
      </c>
      <c r="K3267" s="11" t="str">
        <f t="shared" si="101"/>
        <v/>
      </c>
    </row>
    <row r="3268" spans="2:11" x14ac:dyDescent="0.2">
      <c r="B3268" t="str">
        <f t="shared" ref="B3268:B3331" si="102">IF(A3268="","",IF(E3268="","NÃO CHEGOU",IF(K3268&gt;$N$1,"AGUARDANDO NO LABORATORIO",IF(M3268="","ATRASADO","FINALIZADO"))))</f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si="102"/>
        <v/>
      </c>
      <c r="K3331" s="11" t="str">
        <f t="shared" si="103"/>
        <v/>
      </c>
    </row>
    <row r="3332" spans="2:11" x14ac:dyDescent="0.2">
      <c r="B3332" t="str">
        <f t="shared" ref="B3332:B3395" si="104">IF(A3332="","",IF(E3332="","NÃO CHEGOU",IF(K3332&gt;$N$1,"AGUARDANDO NO LABORATORIO",IF(M3332="","ATRASADO","FINALIZADO"))))</f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si="104"/>
        <v/>
      </c>
      <c r="K3395" s="11" t="str">
        <f t="shared" si="105"/>
        <v/>
      </c>
    </row>
    <row r="3396" spans="2:11" x14ac:dyDescent="0.2">
      <c r="B3396" t="str">
        <f t="shared" ref="B3396:B3459" si="106">IF(A3396="","",IF(E3396="","NÃO CHEGOU",IF(K3396&gt;$N$1,"AGUARDANDO NO LABORATORIO",IF(M3396="","ATRASADO","FINALIZADO"))))</f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si="106"/>
        <v/>
      </c>
      <c r="K3459" s="11" t="str">
        <f t="shared" si="107"/>
        <v/>
      </c>
    </row>
    <row r="3460" spans="2:11" x14ac:dyDescent="0.2">
      <c r="B3460" t="str">
        <f t="shared" ref="B3460:B3523" si="108">IF(A3460="","",IF(E3460="","NÃO CHEGOU",IF(K3460&gt;$N$1,"AGUARDANDO NO LABORATORIO",IF(M3460="","ATRASADO","FINALIZADO"))))</f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si="108"/>
        <v/>
      </c>
      <c r="K3523" s="11" t="str">
        <f t="shared" si="109"/>
        <v/>
      </c>
    </row>
    <row r="3524" spans="2:11" x14ac:dyDescent="0.2">
      <c r="B3524" t="str">
        <f t="shared" ref="B3524:B3587" si="110">IF(A3524="","",IF(E3524="","NÃO CHEGOU",IF(K3524&gt;$N$1,"AGUARDANDO NO LABORATORIO",IF(M3524="","ATRASADO","FINALIZADO"))))</f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si="110"/>
        <v/>
      </c>
      <c r="K3587" s="11" t="str">
        <f t="shared" si="111"/>
        <v/>
      </c>
    </row>
    <row r="3588" spans="2:11" x14ac:dyDescent="0.2">
      <c r="B3588" t="str">
        <f t="shared" ref="B3588:B3651" si="112">IF(A3588="","",IF(E3588="","NÃO CHEGOU",IF(K3588&gt;$N$1,"AGUARDANDO NO LABORATORIO",IF(M3588="","ATRASADO","FINALIZADO"))))</f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si="112"/>
        <v/>
      </c>
      <c r="K3651" s="11" t="str">
        <f t="shared" si="113"/>
        <v/>
      </c>
    </row>
    <row r="3652" spans="2:11" x14ac:dyDescent="0.2">
      <c r="B3652" t="str">
        <f t="shared" ref="B3652:B3715" si="114">IF(A3652="","",IF(E3652="","NÃO CHEGOU",IF(K3652&gt;$N$1,"AGUARDANDO NO LABORATORIO",IF(M3652="","ATRASADO","FINALIZADO"))))</f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si="114"/>
        <v/>
      </c>
      <c r="K3715" s="11" t="str">
        <f t="shared" si="115"/>
        <v/>
      </c>
    </row>
    <row r="3716" spans="2:11" x14ac:dyDescent="0.2">
      <c r="B3716" t="str">
        <f t="shared" ref="B3716:B3779" si="116">IF(A3716="","",IF(E3716="","NÃO CHEGOU",IF(K3716&gt;$N$1,"AGUARDANDO NO LABORATORIO",IF(M3716="","ATRASADO","FINALIZADO"))))</f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si="116"/>
        <v/>
      </c>
      <c r="K3779" s="11" t="str">
        <f t="shared" si="117"/>
        <v/>
      </c>
    </row>
    <row r="3780" spans="2:11" x14ac:dyDescent="0.2">
      <c r="B3780" t="str">
        <f t="shared" ref="B3780:B3843" si="118">IF(A3780="","",IF(E3780="","NÃO CHEGOU",IF(K3780&gt;$N$1,"AGUARDANDO NO LABORATORIO",IF(M3780="","ATRASADO","FINALIZADO"))))</f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si="118"/>
        <v/>
      </c>
      <c r="K3843" s="11" t="str">
        <f t="shared" si="119"/>
        <v/>
      </c>
    </row>
    <row r="3844" spans="2:11" x14ac:dyDescent="0.2">
      <c r="B3844" t="str">
        <f t="shared" ref="B3844:B3907" si="120">IF(A3844="","",IF(E3844="","NÃO CHEGOU",IF(K3844&gt;$N$1,"AGUARDANDO NO LABORATORIO",IF(M3844="","ATRASADO","FINALIZADO"))))</f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si="120"/>
        <v/>
      </c>
      <c r="K3907" s="11" t="str">
        <f t="shared" si="121"/>
        <v/>
      </c>
    </row>
    <row r="3908" spans="2:11" x14ac:dyDescent="0.2">
      <c r="B3908" t="str">
        <f t="shared" ref="B3908:B3971" si="122">IF(A3908="","",IF(E3908="","NÃO CHEGOU",IF(K3908&gt;$N$1,"AGUARDANDO NO LABORATORIO",IF(M3908="","ATRASADO","FINALIZADO"))))</f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si="122"/>
        <v/>
      </c>
      <c r="K3971" s="11" t="str">
        <f t="shared" si="123"/>
        <v/>
      </c>
    </row>
    <row r="3972" spans="2:11" x14ac:dyDescent="0.2">
      <c r="B3972" t="str">
        <f t="shared" ref="B3972:B4035" si="124">IF(A3972="","",IF(E3972="","NÃO CHEGOU",IF(K3972&gt;$N$1,"AGUARDANDO NO LABORATORIO",IF(M3972="","ATRASADO","FINALIZADO"))))</f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si="124"/>
        <v/>
      </c>
      <c r="K4035" s="11" t="str">
        <f t="shared" si="125"/>
        <v/>
      </c>
    </row>
    <row r="4036" spans="2:11" x14ac:dyDescent="0.2">
      <c r="B4036" t="str">
        <f t="shared" ref="B4036:B4099" si="126">IF(A4036="","",IF(E4036="","NÃO CHEGOU",IF(K4036&gt;$N$1,"AGUARDANDO NO LABORATORIO",IF(M4036="","ATRASADO","FINALIZADO"))))</f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si="126"/>
        <v/>
      </c>
      <c r="K4099" s="11" t="str">
        <f t="shared" si="127"/>
        <v/>
      </c>
    </row>
    <row r="4100" spans="2:11" x14ac:dyDescent="0.2">
      <c r="B4100" t="str">
        <f t="shared" ref="B4100:B4163" si="128">IF(A4100="","",IF(E4100="","NÃO CHEGOU",IF(K4100&gt;$N$1,"AGUARDANDO NO LABORATORIO",IF(M4100="","ATRASADO","FINALIZADO"))))</f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si="128"/>
        <v/>
      </c>
      <c r="K4163" s="11" t="str">
        <f t="shared" si="129"/>
        <v/>
      </c>
    </row>
    <row r="4164" spans="2:11" x14ac:dyDescent="0.2">
      <c r="B4164" t="str">
        <f t="shared" ref="B4164:B4227" si="130">IF(A4164="","",IF(E4164="","NÃO CHEGOU",IF(K4164&gt;$N$1,"AGUARDANDO NO LABORATORIO",IF(M4164="","ATRASADO","FINALIZADO"))))</f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si="130"/>
        <v/>
      </c>
      <c r="K4227" s="11" t="str">
        <f t="shared" si="131"/>
        <v/>
      </c>
    </row>
    <row r="4228" spans="2:11" x14ac:dyDescent="0.2">
      <c r="B4228" t="str">
        <f t="shared" ref="B4228:B4291" si="132">IF(A4228="","",IF(E4228="","NÃO CHEGOU",IF(K4228&gt;$N$1,"AGUARDANDO NO LABORATORIO",IF(M4228="","ATRASADO","FINALIZADO"))))</f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si="132"/>
        <v/>
      </c>
      <c r="K4291" s="11" t="str">
        <f t="shared" si="133"/>
        <v/>
      </c>
    </row>
    <row r="4292" spans="2:11" x14ac:dyDescent="0.2">
      <c r="B4292" t="str">
        <f t="shared" ref="B4292:B4355" si="134">IF(A4292="","",IF(E4292="","NÃO CHEGOU",IF(K4292&gt;$N$1,"AGUARDANDO NO LABORATORIO",IF(M4292="","ATRASADO","FINALIZADO"))))</f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si="134"/>
        <v/>
      </c>
      <c r="K4355" s="11" t="str">
        <f t="shared" si="135"/>
        <v/>
      </c>
    </row>
    <row r="4356" spans="2:11" x14ac:dyDescent="0.2">
      <c r="B4356" t="str">
        <f t="shared" ref="B4356:B4419" si="136">IF(A4356="","",IF(E4356="","NÃO CHEGOU",IF(K4356&gt;$N$1,"AGUARDANDO NO LABORATORIO",IF(M4356="","ATRASADO","FINALIZADO"))))</f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si="136"/>
        <v/>
      </c>
      <c r="K4419" s="11" t="str">
        <f t="shared" si="137"/>
        <v/>
      </c>
    </row>
    <row r="4420" spans="2:11" x14ac:dyDescent="0.2">
      <c r="B4420" t="str">
        <f t="shared" ref="B4420:B4483" si="138">IF(A4420="","",IF(E4420="","NÃO CHEGOU",IF(K4420&gt;$N$1,"AGUARDANDO NO LABORATORIO",IF(M4420="","ATRASADO","FINALIZADO"))))</f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si="138"/>
        <v/>
      </c>
      <c r="K4483" s="11" t="str">
        <f t="shared" si="139"/>
        <v/>
      </c>
    </row>
    <row r="4484" spans="2:11" x14ac:dyDescent="0.2">
      <c r="B4484" t="str">
        <f t="shared" ref="B4484:B4547" si="140">IF(A4484="","",IF(E4484="","NÃO CHEGOU",IF(K4484&gt;$N$1,"AGUARDANDO NO LABORATORIO",IF(M4484="","ATRASADO","FINALIZADO"))))</f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si="140"/>
        <v/>
      </c>
      <c r="K4547" s="11" t="str">
        <f t="shared" si="141"/>
        <v/>
      </c>
    </row>
    <row r="4548" spans="2:11" x14ac:dyDescent="0.2">
      <c r="B4548" t="str">
        <f t="shared" ref="B4548:B4611" si="142">IF(A4548="","",IF(E4548="","NÃO CHEGOU",IF(K4548&gt;$N$1,"AGUARDANDO NO LABORATORIO",IF(M4548="","ATRASADO","FINALIZADO"))))</f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si="142"/>
        <v/>
      </c>
      <c r="K4611" s="11" t="str">
        <f t="shared" si="143"/>
        <v/>
      </c>
    </row>
    <row r="4612" spans="2:11" x14ac:dyDescent="0.2">
      <c r="B4612" t="str">
        <f t="shared" ref="B4612:B4675" si="144">IF(A4612="","",IF(E4612="","NÃO CHEGOU",IF(K4612&gt;$N$1,"AGUARDANDO NO LABORATORIO",IF(M4612="","ATRASADO","FINALIZADO"))))</f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si="144"/>
        <v/>
      </c>
      <c r="K4675" s="11" t="str">
        <f t="shared" si="145"/>
        <v/>
      </c>
    </row>
    <row r="4676" spans="2:11" x14ac:dyDescent="0.2">
      <c r="B4676" t="str">
        <f t="shared" ref="B4676:B4739" si="146">IF(A4676="","",IF(E4676="","NÃO CHEGOU",IF(K4676&gt;$N$1,"AGUARDANDO NO LABORATORIO",IF(M4676="","ATRASADO","FINALIZADO"))))</f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si="146"/>
        <v/>
      </c>
      <c r="K4739" s="11" t="str">
        <f t="shared" si="147"/>
        <v/>
      </c>
    </row>
    <row r="4740" spans="2:11" x14ac:dyDescent="0.2">
      <c r="B4740" t="str">
        <f t="shared" ref="B4740:B4803" si="148">IF(A4740="","",IF(E4740="","NÃO CHEGOU",IF(K4740&gt;$N$1,"AGUARDANDO NO LABORATORIO",IF(M4740="","ATRASADO","FINALIZADO"))))</f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si="148"/>
        <v/>
      </c>
      <c r="K4803" s="11" t="str">
        <f t="shared" si="149"/>
        <v/>
      </c>
    </row>
    <row r="4804" spans="2:11" x14ac:dyDescent="0.2">
      <c r="B4804" t="str">
        <f t="shared" ref="B4804:B4867" si="150">IF(A4804="","",IF(E4804="","NÃO CHEGOU",IF(K4804&gt;$N$1,"AGUARDANDO NO LABORATORIO",IF(M4804="","ATRASADO","FINALIZADO"))))</f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si="150"/>
        <v/>
      </c>
      <c r="K4867" s="11" t="str">
        <f t="shared" si="151"/>
        <v/>
      </c>
    </row>
    <row r="4868" spans="2:11" x14ac:dyDescent="0.2">
      <c r="B4868" t="str">
        <f t="shared" ref="B4868:B4931" si="152">IF(A4868="","",IF(E4868="","NÃO CHEGOU",IF(K4868&gt;$N$1,"AGUARDANDO NO LABORATORIO",IF(M4868="","ATRASADO","FINALIZADO"))))</f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si="152"/>
        <v/>
      </c>
      <c r="K4931" s="11" t="str">
        <f t="shared" si="153"/>
        <v/>
      </c>
    </row>
    <row r="4932" spans="2:11" x14ac:dyDescent="0.2">
      <c r="B4932" t="str">
        <f t="shared" ref="B4932:B4995" si="154">IF(A4932="","",IF(E4932="","NÃO CHEGOU",IF(K4932&gt;$N$1,"AGUARDANDO NO LABORATORIO",IF(M4932="","ATRASADO","FINALIZADO"))))</f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si="154"/>
        <v/>
      </c>
      <c r="K4995" s="11" t="str">
        <f t="shared" si="155"/>
        <v/>
      </c>
    </row>
    <row r="4996" spans="2:11" x14ac:dyDescent="0.2">
      <c r="B4996" t="str">
        <f t="shared" ref="B4996:B5059" si="156">IF(A4996="","",IF(E4996="","NÃO CHEGOU",IF(K4996&gt;$N$1,"AGUARDANDO NO LABORATORIO",IF(M4996="","ATRASADO","FINALIZADO"))))</f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si="156"/>
        <v/>
      </c>
      <c r="K5059" s="11" t="str">
        <f t="shared" si="157"/>
        <v/>
      </c>
    </row>
    <row r="5060" spans="2:11" x14ac:dyDescent="0.2">
      <c r="B5060" t="str">
        <f t="shared" ref="B5060:B5123" si="158">IF(A5060="","",IF(E5060="","NÃO CHEGOU",IF(K5060&gt;$N$1,"AGUARDANDO NO LABORATORIO",IF(M5060="","ATRASADO","FINALIZADO"))))</f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si="158"/>
        <v/>
      </c>
      <c r="K5123" s="11" t="str">
        <f t="shared" si="159"/>
        <v/>
      </c>
    </row>
    <row r="5124" spans="2:11" x14ac:dyDescent="0.2">
      <c r="B5124" t="str">
        <f t="shared" ref="B5124:B5187" si="160">IF(A5124="","",IF(E5124="","NÃO CHEGOU",IF(K5124&gt;$N$1,"AGUARDANDO NO LABORATORIO",IF(M5124="","ATRASADO","FINALIZADO"))))</f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si="160"/>
        <v/>
      </c>
      <c r="K5187" s="11" t="str">
        <f t="shared" si="161"/>
        <v/>
      </c>
    </row>
    <row r="5188" spans="2:11" x14ac:dyDescent="0.2">
      <c r="B5188" t="str">
        <f t="shared" ref="B5188:B5251" si="162">IF(A5188="","",IF(E5188="","NÃO CHEGOU",IF(K5188&gt;$N$1,"AGUARDANDO NO LABORATORIO",IF(M5188="","ATRASADO","FINALIZADO"))))</f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si="162"/>
        <v/>
      </c>
      <c r="K5251" s="11" t="str">
        <f t="shared" si="163"/>
        <v/>
      </c>
    </row>
    <row r="5252" spans="2:11" x14ac:dyDescent="0.2">
      <c r="B5252" t="str">
        <f t="shared" ref="B5252:B5315" si="164">IF(A5252="","",IF(E5252="","NÃO CHEGOU",IF(K5252&gt;$N$1,"AGUARDANDO NO LABORATORIO",IF(M5252="","ATRASADO","FINALIZADO"))))</f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si="164"/>
        <v/>
      </c>
      <c r="K5315" s="11" t="str">
        <f t="shared" si="165"/>
        <v/>
      </c>
    </row>
    <row r="5316" spans="2:11" x14ac:dyDescent="0.2">
      <c r="B5316" t="str">
        <f t="shared" ref="B5316:B5379" si="166">IF(A5316="","",IF(E5316="","NÃO CHEGOU",IF(K5316&gt;$N$1,"AGUARDANDO NO LABORATORIO",IF(M5316="","ATRASADO","FINALIZADO"))))</f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si="166"/>
        <v/>
      </c>
      <c r="K5379" s="11" t="str">
        <f t="shared" si="167"/>
        <v/>
      </c>
    </row>
    <row r="5380" spans="2:11" x14ac:dyDescent="0.2">
      <c r="B5380" t="str">
        <f t="shared" ref="B5380:B5443" si="168">IF(A5380="","",IF(E5380="","NÃO CHEGOU",IF(K5380&gt;$N$1,"AGUARDANDO NO LABORATORIO",IF(M5380="","ATRASADO","FINALIZADO"))))</f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si="168"/>
        <v/>
      </c>
      <c r="K5443" s="11" t="str">
        <f t="shared" si="169"/>
        <v/>
      </c>
    </row>
    <row r="5444" spans="2:11" x14ac:dyDescent="0.2">
      <c r="B5444" t="str">
        <f t="shared" ref="B5444:B5507" si="170">IF(A5444="","",IF(E5444="","NÃO CHEGOU",IF(K5444&gt;$N$1,"AGUARDANDO NO LABORATORIO",IF(M5444="","ATRASADO","FINALIZADO"))))</f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si="170"/>
        <v/>
      </c>
      <c r="K5507" s="11" t="str">
        <f t="shared" si="171"/>
        <v/>
      </c>
    </row>
    <row r="5508" spans="2:11" x14ac:dyDescent="0.2">
      <c r="B5508" t="str">
        <f t="shared" ref="B5508:B5571" si="172">IF(A5508="","",IF(E5508="","NÃO CHEGOU",IF(K5508&gt;$N$1,"AGUARDANDO NO LABORATORIO",IF(M5508="","ATRASADO","FINALIZADO"))))</f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si="172"/>
        <v/>
      </c>
      <c r="K5571" s="11" t="str">
        <f t="shared" si="173"/>
        <v/>
      </c>
    </row>
    <row r="5572" spans="2:11" x14ac:dyDescent="0.2">
      <c r="B5572" t="str">
        <f t="shared" ref="B5572:B5635" si="174">IF(A5572="","",IF(E5572="","NÃO CHEGOU",IF(K5572&gt;$N$1,"AGUARDANDO NO LABORATORIO",IF(M5572="","ATRASADO","FINALIZADO"))))</f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si="174"/>
        <v/>
      </c>
      <c r="K5635" s="11" t="str">
        <f t="shared" si="175"/>
        <v/>
      </c>
    </row>
    <row r="5636" spans="2:11" x14ac:dyDescent="0.2">
      <c r="B5636" t="str">
        <f t="shared" ref="B5636:B5699" si="176">IF(A5636="","",IF(E5636="","NÃO CHEGOU",IF(K5636&gt;$N$1,"AGUARDANDO NO LABORATORIO",IF(M5636="","ATRASADO","FINALIZADO"))))</f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si="176"/>
        <v/>
      </c>
      <c r="K5699" s="11" t="str">
        <f t="shared" si="177"/>
        <v/>
      </c>
    </row>
    <row r="5700" spans="2:11" x14ac:dyDescent="0.2">
      <c r="B5700" t="str">
        <f t="shared" ref="B5700:B5763" si="178">IF(A5700="","",IF(E5700="","NÃO CHEGOU",IF(K5700&gt;$N$1,"AGUARDANDO NO LABORATORIO",IF(M5700="","ATRASADO","FINALIZADO"))))</f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si="178"/>
        <v/>
      </c>
      <c r="K5763" s="11" t="str">
        <f t="shared" si="179"/>
        <v/>
      </c>
    </row>
    <row r="5764" spans="2:11" x14ac:dyDescent="0.2">
      <c r="B5764" t="str">
        <f t="shared" ref="B5764:B5827" si="180">IF(A5764="","",IF(E5764="","NÃO CHEGOU",IF(K5764&gt;$N$1,"AGUARDANDO NO LABORATORIO",IF(M5764="","ATRASADO","FINALIZADO"))))</f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si="180"/>
        <v/>
      </c>
      <c r="K5827" s="11" t="str">
        <f t="shared" si="181"/>
        <v/>
      </c>
    </row>
    <row r="5828" spans="2:11" x14ac:dyDescent="0.2">
      <c r="B5828" t="str">
        <f t="shared" ref="B5828:B5891" si="182">IF(A5828="","",IF(E5828="","NÃO CHEGOU",IF(K5828&gt;$N$1,"AGUARDANDO NO LABORATORIO",IF(M5828="","ATRASADO","FINALIZADO"))))</f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si="182"/>
        <v/>
      </c>
      <c r="K5891" s="11" t="str">
        <f t="shared" si="183"/>
        <v/>
      </c>
    </row>
    <row r="5892" spans="2:11" x14ac:dyDescent="0.2">
      <c r="B5892" t="str">
        <f t="shared" ref="B5892:B5955" si="184">IF(A5892="","",IF(E5892="","NÃO CHEGOU",IF(K5892&gt;$N$1,"AGUARDANDO NO LABORATORIO",IF(M5892="","ATRASADO","FINALIZADO"))))</f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si="184"/>
        <v/>
      </c>
      <c r="K5955" s="11" t="str">
        <f t="shared" si="185"/>
        <v/>
      </c>
    </row>
    <row r="5956" spans="2:11" x14ac:dyDescent="0.2">
      <c r="B5956" t="str">
        <f t="shared" ref="B5956:B6019" si="186">IF(A5956="","",IF(E5956="","NÃO CHEGOU",IF(K5956&gt;$N$1,"AGUARDANDO NO LABORATORIO",IF(M5956="","ATRASADO","FINALIZADO"))))</f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si="186"/>
        <v/>
      </c>
      <c r="K6019" s="11" t="str">
        <f t="shared" si="187"/>
        <v/>
      </c>
    </row>
    <row r="6020" spans="2:11" x14ac:dyDescent="0.2">
      <c r="B6020" t="str">
        <f t="shared" ref="B6020:B6083" si="188">IF(A6020="","",IF(E6020="","NÃO CHEGOU",IF(K6020&gt;$N$1,"AGUARDANDO NO LABORATORIO",IF(M6020="","ATRASADO","FINALIZADO"))))</f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si="188"/>
        <v/>
      </c>
      <c r="K6083" s="11" t="str">
        <f t="shared" si="189"/>
        <v/>
      </c>
    </row>
    <row r="6084" spans="2:11" x14ac:dyDescent="0.2">
      <c r="B6084" t="str">
        <f t="shared" ref="B6084:B6147" si="190">IF(A6084="","",IF(E6084="","NÃO CHEGOU",IF(K6084&gt;$N$1,"AGUARDANDO NO LABORATORIO",IF(M6084="","ATRASADO","FINALIZADO"))))</f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si="190"/>
        <v/>
      </c>
      <c r="K6147" s="11" t="str">
        <f t="shared" si="191"/>
        <v/>
      </c>
    </row>
    <row r="6148" spans="2:11" x14ac:dyDescent="0.2">
      <c r="B6148" t="str">
        <f t="shared" ref="B6148:B6211" si="192">IF(A6148="","",IF(E6148="","NÃO CHEGOU",IF(K6148&gt;$N$1,"AGUARDANDO NO LABORATORIO",IF(M6148="","ATRASADO","FINALIZADO"))))</f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si="192"/>
        <v/>
      </c>
      <c r="K6211" s="11" t="str">
        <f t="shared" si="193"/>
        <v/>
      </c>
    </row>
    <row r="6212" spans="2:11" x14ac:dyDescent="0.2">
      <c r="B6212" t="str">
        <f t="shared" ref="B6212:B6275" si="194">IF(A6212="","",IF(E6212="","NÃO CHEGOU",IF(K6212&gt;$N$1,"AGUARDANDO NO LABORATORIO",IF(M6212="","ATRASADO","FINALIZADO"))))</f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si="194"/>
        <v/>
      </c>
      <c r="K6275" s="11" t="str">
        <f t="shared" si="195"/>
        <v/>
      </c>
    </row>
    <row r="6276" spans="2:11" x14ac:dyDescent="0.2">
      <c r="B6276" t="str">
        <f t="shared" ref="B6276:B6339" si="196">IF(A6276="","",IF(E6276="","NÃO CHEGOU",IF(K6276&gt;$N$1,"AGUARDANDO NO LABORATORIO",IF(M6276="","ATRASADO","FINALIZADO"))))</f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si="196"/>
        <v/>
      </c>
      <c r="K6339" s="11" t="str">
        <f t="shared" si="197"/>
        <v/>
      </c>
    </row>
    <row r="6340" spans="2:11" x14ac:dyDescent="0.2">
      <c r="B6340" t="str">
        <f t="shared" ref="B6340:B6403" si="198">IF(A6340="","",IF(E6340="","NÃO CHEGOU",IF(K6340&gt;$N$1,"AGUARDANDO NO LABORATORIO",IF(M6340="","ATRASADO","FINALIZADO"))))</f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si="198"/>
        <v/>
      </c>
      <c r="K6403" s="11" t="str">
        <f t="shared" si="199"/>
        <v/>
      </c>
    </row>
    <row r="6404" spans="2:11" x14ac:dyDescent="0.2">
      <c r="B6404" t="str">
        <f t="shared" ref="B6404:B6467" si="200">IF(A6404="","",IF(E6404="","NÃO CHEGOU",IF(K6404&gt;$N$1,"AGUARDANDO NO LABORATORIO",IF(M6404="","ATRASADO","FINALIZADO"))))</f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si="200"/>
        <v/>
      </c>
      <c r="K6467" s="11" t="str">
        <f t="shared" si="201"/>
        <v/>
      </c>
    </row>
    <row r="6468" spans="2:11" x14ac:dyDescent="0.2">
      <c r="B6468" t="str">
        <f t="shared" ref="B6468:B6531" si="202">IF(A6468="","",IF(E6468="","NÃO CHEGOU",IF(K6468&gt;$N$1,"AGUARDANDO NO LABORATORIO",IF(M6468="","ATRASADO","FINALIZADO"))))</f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si="202"/>
        <v/>
      </c>
      <c r="K6531" s="11" t="str">
        <f t="shared" si="203"/>
        <v/>
      </c>
    </row>
    <row r="6532" spans="2:11" x14ac:dyDescent="0.2">
      <c r="B6532" t="str">
        <f t="shared" ref="B6532:B6595" si="204">IF(A6532="","",IF(E6532="","NÃO CHEGOU",IF(K6532&gt;$N$1,"AGUARDANDO NO LABORATORIO",IF(M6532="","ATRASADO","FINALIZADO"))))</f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si="204"/>
        <v/>
      </c>
      <c r="K6595" s="11" t="str">
        <f t="shared" si="205"/>
        <v/>
      </c>
    </row>
    <row r="6596" spans="2:11" x14ac:dyDescent="0.2">
      <c r="B6596" t="str">
        <f t="shared" ref="B6596:B6659" si="206">IF(A6596="","",IF(E6596="","NÃO CHEGOU",IF(K6596&gt;$N$1,"AGUARDANDO NO LABORATORIO",IF(M6596="","ATRASADO","FINALIZADO"))))</f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si="206"/>
        <v/>
      </c>
      <c r="K6659" s="11" t="str">
        <f t="shared" si="207"/>
        <v/>
      </c>
    </row>
    <row r="6660" spans="2:11" x14ac:dyDescent="0.2">
      <c r="B6660" t="str">
        <f t="shared" ref="B6660:B6723" si="208">IF(A6660="","",IF(E6660="","NÃO CHEGOU",IF(K6660&gt;$N$1,"AGUARDANDO NO LABORATORIO",IF(M6660="","ATRASADO","FINALIZADO"))))</f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si="208"/>
        <v/>
      </c>
      <c r="K6723" s="11" t="str">
        <f t="shared" si="209"/>
        <v/>
      </c>
    </row>
    <row r="6724" spans="2:11" x14ac:dyDescent="0.2">
      <c r="B6724" t="str">
        <f t="shared" ref="B6724:B6787" si="210">IF(A6724="","",IF(E6724="","NÃO CHEGOU",IF(K6724&gt;$N$1,"AGUARDANDO NO LABORATORIO",IF(M6724="","ATRASADO","FINALIZADO"))))</f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si="210"/>
        <v/>
      </c>
      <c r="K6787" s="11" t="str">
        <f t="shared" si="211"/>
        <v/>
      </c>
    </row>
    <row r="6788" spans="2:11" x14ac:dyDescent="0.2">
      <c r="B6788" t="str">
        <f t="shared" ref="B6788:B6851" si="212">IF(A6788="","",IF(E6788="","NÃO CHEGOU",IF(K6788&gt;$N$1,"AGUARDANDO NO LABORATORIO",IF(M6788="","ATRASADO","FINALIZADO"))))</f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si="212"/>
        <v/>
      </c>
      <c r="K6851" s="11" t="str">
        <f t="shared" si="213"/>
        <v/>
      </c>
    </row>
    <row r="6852" spans="2:11" x14ac:dyDescent="0.2">
      <c r="B6852" t="str">
        <f t="shared" ref="B6852:B6915" si="214">IF(A6852="","",IF(E6852="","NÃO CHEGOU",IF(K6852&gt;$N$1,"AGUARDANDO NO LABORATORIO",IF(M6852="","ATRASADO","FINALIZADO"))))</f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si="214"/>
        <v/>
      </c>
      <c r="K6915" s="11" t="str">
        <f t="shared" si="215"/>
        <v/>
      </c>
    </row>
    <row r="6916" spans="2:11" x14ac:dyDescent="0.2">
      <c r="B6916" t="str">
        <f t="shared" ref="B6916:B6979" si="216">IF(A6916="","",IF(E6916="","NÃO CHEGOU",IF(K6916&gt;$N$1,"AGUARDANDO NO LABORATORIO",IF(M6916="","ATRASADO","FINALIZADO"))))</f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si="216"/>
        <v/>
      </c>
      <c r="K6979" s="11" t="str">
        <f t="shared" si="217"/>
        <v/>
      </c>
    </row>
    <row r="6980" spans="2:11" x14ac:dyDescent="0.2">
      <c r="B6980" t="str">
        <f t="shared" ref="B6980:B7043" si="218">IF(A6980="","",IF(E6980="","NÃO CHEGOU",IF(K6980&gt;$N$1,"AGUARDANDO NO LABORATORIO",IF(M6980="","ATRASADO","FINALIZADO"))))</f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si="218"/>
        <v/>
      </c>
      <c r="K7043" s="11" t="str">
        <f t="shared" si="219"/>
        <v/>
      </c>
    </row>
    <row r="7044" spans="2:11" x14ac:dyDescent="0.2">
      <c r="B7044" t="str">
        <f t="shared" ref="B7044:B7107" si="220">IF(A7044="","",IF(E7044="","NÃO CHEGOU",IF(K7044&gt;$N$1,"AGUARDANDO NO LABORATORIO",IF(M7044="","ATRASADO","FINALIZADO"))))</f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si="220"/>
        <v/>
      </c>
      <c r="K7107" s="11" t="str">
        <f t="shared" si="221"/>
        <v/>
      </c>
    </row>
    <row r="7108" spans="2:11" x14ac:dyDescent="0.2">
      <c r="B7108" t="str">
        <f t="shared" ref="B7108:B7171" si="222">IF(A7108="","",IF(E7108="","NÃO CHEGOU",IF(K7108&gt;$N$1,"AGUARDANDO NO LABORATORIO",IF(M7108="","ATRASADO","FINALIZADO"))))</f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si="222"/>
        <v/>
      </c>
      <c r="K7171" s="11" t="str">
        <f t="shared" si="223"/>
        <v/>
      </c>
    </row>
    <row r="7172" spans="2:11" x14ac:dyDescent="0.2">
      <c r="B7172" t="str">
        <f t="shared" ref="B7172:B7235" si="224">IF(A7172="","",IF(E7172="","NÃO CHEGOU",IF(K7172&gt;$N$1,"AGUARDANDO NO LABORATORIO",IF(M7172="","ATRASADO","FINALIZADO"))))</f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si="224"/>
        <v/>
      </c>
      <c r="K7235" s="11" t="str">
        <f t="shared" si="225"/>
        <v/>
      </c>
    </row>
    <row r="7236" spans="2:11" x14ac:dyDescent="0.2">
      <c r="B7236" t="str">
        <f t="shared" ref="B7236:B7299" si="226">IF(A7236="","",IF(E7236="","NÃO CHEGOU",IF(K7236&gt;$N$1,"AGUARDANDO NO LABORATORIO",IF(M7236="","ATRASADO","FINALIZADO"))))</f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si="226"/>
        <v/>
      </c>
      <c r="K7299" s="11" t="str">
        <f t="shared" si="227"/>
        <v/>
      </c>
    </row>
    <row r="7300" spans="2:11" x14ac:dyDescent="0.2">
      <c r="B7300" t="str">
        <f t="shared" ref="B7300:B7363" si="228">IF(A7300="","",IF(E7300="","NÃO CHEGOU",IF(K7300&gt;$N$1,"AGUARDANDO NO LABORATORIO",IF(M7300="","ATRASADO","FINALIZADO"))))</f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si="228"/>
        <v/>
      </c>
      <c r="K7363" s="11" t="str">
        <f t="shared" si="229"/>
        <v/>
      </c>
    </row>
    <row r="7364" spans="2:11" x14ac:dyDescent="0.2">
      <c r="B7364" t="str">
        <f t="shared" ref="B7364:B7427" si="230">IF(A7364="","",IF(E7364="","NÃO CHEGOU",IF(K7364&gt;$N$1,"AGUARDANDO NO LABORATORIO",IF(M7364="","ATRASADO","FINALIZADO"))))</f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si="230"/>
        <v/>
      </c>
      <c r="K7427" s="11" t="str">
        <f t="shared" si="231"/>
        <v/>
      </c>
    </row>
    <row r="7428" spans="2:11" x14ac:dyDescent="0.2">
      <c r="B7428" t="str">
        <f t="shared" ref="B7428:B7491" si="232">IF(A7428="","",IF(E7428="","NÃO CHEGOU",IF(K7428&gt;$N$1,"AGUARDANDO NO LABORATORIO",IF(M7428="","ATRASADO","FINALIZADO"))))</f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si="232"/>
        <v/>
      </c>
      <c r="K7491" s="11" t="str">
        <f t="shared" si="233"/>
        <v/>
      </c>
    </row>
    <row r="7492" spans="2:11" x14ac:dyDescent="0.2">
      <c r="B7492" t="str">
        <f t="shared" ref="B7492:B7555" si="234">IF(A7492="","",IF(E7492="","NÃO CHEGOU",IF(K7492&gt;$N$1,"AGUARDANDO NO LABORATORIO",IF(M7492="","ATRASADO","FINALIZADO"))))</f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si="234"/>
        <v/>
      </c>
      <c r="K7555" s="11" t="str">
        <f t="shared" si="235"/>
        <v/>
      </c>
    </row>
    <row r="7556" spans="2:11" x14ac:dyDescent="0.2">
      <c r="B7556" t="str">
        <f t="shared" ref="B7556:B7619" si="236">IF(A7556="","",IF(E7556="","NÃO CHEGOU",IF(K7556&gt;$N$1,"AGUARDANDO NO LABORATORIO",IF(M7556="","ATRASADO","FINALIZADO"))))</f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si="236"/>
        <v/>
      </c>
      <c r="K7619" s="11" t="str">
        <f t="shared" si="237"/>
        <v/>
      </c>
    </row>
    <row r="7620" spans="2:11" x14ac:dyDescent="0.2">
      <c r="B7620" t="str">
        <f t="shared" ref="B7620:B7683" si="238">IF(A7620="","",IF(E7620="","NÃO CHEGOU",IF(K7620&gt;$N$1,"AGUARDANDO NO LABORATORIO",IF(M7620="","ATRASADO","FINALIZADO"))))</f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si="238"/>
        <v/>
      </c>
      <c r="K7683" s="11" t="str">
        <f t="shared" si="239"/>
        <v/>
      </c>
    </row>
    <row r="7684" spans="2:11" x14ac:dyDescent="0.2">
      <c r="B7684" t="str">
        <f t="shared" ref="B7684:B7747" si="240">IF(A7684="","",IF(E7684="","NÃO CHEGOU",IF(K7684&gt;$N$1,"AGUARDANDO NO LABORATORIO",IF(M7684="","ATRASADO","FINALIZADO"))))</f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si="240"/>
        <v/>
      </c>
      <c r="K7747" s="11" t="str">
        <f t="shared" si="241"/>
        <v/>
      </c>
    </row>
    <row r="7748" spans="2:11" x14ac:dyDescent="0.2">
      <c r="B7748" t="str">
        <f t="shared" ref="B7748:B7811" si="242">IF(A7748="","",IF(E7748="","NÃO CHEGOU",IF(K7748&gt;$N$1,"AGUARDANDO NO LABORATORIO",IF(M7748="","ATRASADO","FINALIZADO"))))</f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si="242"/>
        <v/>
      </c>
      <c r="K7811" s="11" t="str">
        <f t="shared" si="243"/>
        <v/>
      </c>
    </row>
    <row r="7812" spans="2:11" x14ac:dyDescent="0.2">
      <c r="B7812" t="str">
        <f t="shared" ref="B7812:B7875" si="244">IF(A7812="","",IF(E7812="","NÃO CHEGOU",IF(K7812&gt;$N$1,"AGUARDANDO NO LABORATORIO",IF(M7812="","ATRASADO","FINALIZADO"))))</f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si="244"/>
        <v/>
      </c>
      <c r="K7875" s="11" t="str">
        <f t="shared" si="245"/>
        <v/>
      </c>
    </row>
    <row r="7876" spans="2:11" x14ac:dyDescent="0.2">
      <c r="B7876" t="str">
        <f t="shared" ref="B7876:B7939" si="246">IF(A7876="","",IF(E7876="","NÃO CHEGOU",IF(K7876&gt;$N$1,"AGUARDANDO NO LABORATORIO",IF(M7876="","ATRASADO","FINALIZADO"))))</f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si="246"/>
        <v/>
      </c>
      <c r="K7939" s="11" t="str">
        <f t="shared" si="247"/>
        <v/>
      </c>
    </row>
    <row r="7940" spans="2:11" x14ac:dyDescent="0.2">
      <c r="B7940" t="str">
        <f t="shared" ref="B7940:B8003" si="248">IF(A7940="","",IF(E7940="","NÃO CHEGOU",IF(K7940&gt;$N$1,"AGUARDANDO NO LABORATORIO",IF(M7940="","ATRASADO","FINALIZADO"))))</f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si="248"/>
        <v/>
      </c>
      <c r="K8003" s="11" t="str">
        <f t="shared" si="249"/>
        <v/>
      </c>
    </row>
    <row r="8004" spans="2:11" x14ac:dyDescent="0.2">
      <c r="B8004" t="str">
        <f t="shared" ref="B8004:B8067" si="250">IF(A8004="","",IF(E8004="","NÃO CHEGOU",IF(K8004&gt;$N$1,"AGUARDANDO NO LABORATORIO",IF(M8004="","ATRASADO","FINALIZADO"))))</f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si="250"/>
        <v/>
      </c>
      <c r="K8067" s="11" t="str">
        <f t="shared" si="251"/>
        <v/>
      </c>
    </row>
    <row r="8068" spans="2:11" x14ac:dyDescent="0.2">
      <c r="B8068" t="str">
        <f t="shared" ref="B8068:B8131" si="252">IF(A8068="","",IF(E8068="","NÃO CHEGOU",IF(K8068&gt;$N$1,"AGUARDANDO NO LABORATORIO",IF(M8068="","ATRASADO","FINALIZADO"))))</f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si="252"/>
        <v/>
      </c>
      <c r="K8131" s="11" t="str">
        <f t="shared" si="253"/>
        <v/>
      </c>
    </row>
    <row r="8132" spans="2:11" x14ac:dyDescent="0.2">
      <c r="B8132" t="str">
        <f t="shared" ref="B8132:B8195" si="254">IF(A8132="","",IF(E8132="","NÃO CHEGOU",IF(K8132&gt;$N$1,"AGUARDANDO NO LABORATORIO",IF(M8132="","ATRASADO","FINALIZADO"))))</f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si="254"/>
        <v/>
      </c>
      <c r="K8195" s="11" t="str">
        <f t="shared" si="255"/>
        <v/>
      </c>
    </row>
    <row r="8196" spans="2:11" x14ac:dyDescent="0.2">
      <c r="B8196" t="str">
        <f t="shared" ref="B8196:B8259" si="256">IF(A8196="","",IF(E8196="","NÃO CHEGOU",IF(K8196&gt;$N$1,"AGUARDANDO NO LABORATORIO",IF(M8196="","ATRASADO","FINALIZADO"))))</f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si="256"/>
        <v/>
      </c>
      <c r="K8259" s="11" t="str">
        <f t="shared" si="257"/>
        <v/>
      </c>
    </row>
    <row r="8260" spans="2:11" x14ac:dyDescent="0.2">
      <c r="B8260" t="str">
        <f t="shared" ref="B8260:B8323" si="258">IF(A8260="","",IF(E8260="","NÃO CHEGOU",IF(K8260&gt;$N$1,"AGUARDANDO NO LABORATORIO",IF(M8260="","ATRASADO","FINALIZADO"))))</f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si="258"/>
        <v/>
      </c>
      <c r="K8323" s="11" t="str">
        <f t="shared" si="259"/>
        <v/>
      </c>
    </row>
    <row r="8324" spans="2:11" x14ac:dyDescent="0.2">
      <c r="B8324" t="str">
        <f t="shared" ref="B8324:B8387" si="260">IF(A8324="","",IF(E8324="","NÃO CHEGOU",IF(K8324&gt;$N$1,"AGUARDANDO NO LABORATORIO",IF(M8324="","ATRASADO","FINALIZADO"))))</f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si="260"/>
        <v/>
      </c>
      <c r="K8387" s="11" t="str">
        <f t="shared" si="261"/>
        <v/>
      </c>
    </row>
    <row r="8388" spans="2:11" x14ac:dyDescent="0.2">
      <c r="B8388" t="str">
        <f t="shared" ref="B8388:B8451" si="262">IF(A8388="","",IF(E8388="","NÃO CHEGOU",IF(K8388&gt;$N$1,"AGUARDANDO NO LABORATORIO",IF(M8388="","ATRASADO","FINALIZADO"))))</f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si="262"/>
        <v/>
      </c>
      <c r="K8451" s="11" t="str">
        <f t="shared" si="263"/>
        <v/>
      </c>
    </row>
    <row r="8452" spans="2:11" x14ac:dyDescent="0.2">
      <c r="B8452" t="str">
        <f t="shared" ref="B8452:B8515" si="264">IF(A8452="","",IF(E8452="","NÃO CHEGOU",IF(K8452&gt;$N$1,"AGUARDANDO NO LABORATORIO",IF(M8452="","ATRASADO","FINALIZADO"))))</f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si="264"/>
        <v/>
      </c>
      <c r="K8515" s="11" t="str">
        <f t="shared" si="265"/>
        <v/>
      </c>
    </row>
    <row r="8516" spans="2:11" x14ac:dyDescent="0.2">
      <c r="B8516" t="str">
        <f t="shared" ref="B8516:B8579" si="266">IF(A8516="","",IF(E8516="","NÃO CHEGOU",IF(K8516&gt;$N$1,"AGUARDANDO NO LABORATORIO",IF(M8516="","ATRASADO","FINALIZADO"))))</f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si="266"/>
        <v/>
      </c>
      <c r="K8579" s="11" t="str">
        <f t="shared" si="267"/>
        <v/>
      </c>
    </row>
    <row r="8580" spans="2:11" x14ac:dyDescent="0.2">
      <c r="B8580" t="str">
        <f t="shared" ref="B8580:B8643" si="268">IF(A8580="","",IF(E8580="","NÃO CHEGOU",IF(K8580&gt;$N$1,"AGUARDANDO NO LABORATORIO",IF(M8580="","ATRASADO","FINALIZADO"))))</f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si="268"/>
        <v/>
      </c>
      <c r="K8643" s="11" t="str">
        <f t="shared" si="269"/>
        <v/>
      </c>
    </row>
    <row r="8644" spans="2:11" x14ac:dyDescent="0.2">
      <c r="B8644" t="str">
        <f t="shared" ref="B8644:B8707" si="270">IF(A8644="","",IF(E8644="","NÃO CHEGOU",IF(K8644&gt;$N$1,"AGUARDANDO NO LABORATORIO",IF(M8644="","ATRASADO","FINALIZADO"))))</f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si="270"/>
        <v/>
      </c>
      <c r="K8707" s="11" t="str">
        <f t="shared" si="271"/>
        <v/>
      </c>
    </row>
    <row r="8708" spans="2:11" x14ac:dyDescent="0.2">
      <c r="B8708" t="str">
        <f t="shared" ref="B8708:B8771" si="272">IF(A8708="","",IF(E8708="","NÃO CHEGOU",IF(K8708&gt;$N$1,"AGUARDANDO NO LABORATORIO",IF(M8708="","ATRASADO","FINALIZADO"))))</f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si="272"/>
        <v/>
      </c>
      <c r="K8771" s="11" t="str">
        <f t="shared" si="273"/>
        <v/>
      </c>
    </row>
    <row r="8772" spans="2:11" x14ac:dyDescent="0.2">
      <c r="B8772" t="str">
        <f t="shared" ref="B8772:B8835" si="274">IF(A8772="","",IF(E8772="","NÃO CHEGOU",IF(K8772&gt;$N$1,"AGUARDANDO NO LABORATORIO",IF(M8772="","ATRASADO","FINALIZADO"))))</f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si="274"/>
        <v/>
      </c>
      <c r="K8835" s="11" t="str">
        <f t="shared" si="275"/>
        <v/>
      </c>
    </row>
    <row r="8836" spans="2:11" x14ac:dyDescent="0.2">
      <c r="B8836" t="str">
        <f t="shared" ref="B8836:B8899" si="276">IF(A8836="","",IF(E8836="","NÃO CHEGOU",IF(K8836&gt;$N$1,"AGUARDANDO NO LABORATORIO",IF(M8836="","ATRASADO","FINALIZADO"))))</f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si="276"/>
        <v/>
      </c>
      <c r="K8899" s="11" t="str">
        <f t="shared" si="277"/>
        <v/>
      </c>
    </row>
    <row r="8900" spans="2:11" x14ac:dyDescent="0.2">
      <c r="B8900" t="str">
        <f t="shared" ref="B8900:B8963" si="278">IF(A8900="","",IF(E8900="","NÃO CHEGOU",IF(K8900&gt;$N$1,"AGUARDANDO NO LABORATORIO",IF(M8900="","ATRASADO","FINALIZADO"))))</f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si="278"/>
        <v/>
      </c>
      <c r="K8963" s="11" t="str">
        <f t="shared" si="279"/>
        <v/>
      </c>
    </row>
    <row r="8964" spans="2:11" x14ac:dyDescent="0.2">
      <c r="B8964" t="str">
        <f t="shared" ref="B8964:B9027" si="280">IF(A8964="","",IF(E8964="","NÃO CHEGOU",IF(K8964&gt;$N$1,"AGUARDANDO NO LABORATORIO",IF(M8964="","ATRASADO","FINALIZADO"))))</f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si="280"/>
        <v/>
      </c>
      <c r="K9027" s="11" t="str">
        <f t="shared" si="281"/>
        <v/>
      </c>
    </row>
    <row r="9028" spans="2:11" x14ac:dyDescent="0.2">
      <c r="B9028" t="str">
        <f t="shared" ref="B9028:B9091" si="282">IF(A9028="","",IF(E9028="","NÃO CHEGOU",IF(K9028&gt;$N$1,"AGUARDANDO NO LABORATORIO",IF(M9028="","ATRASADO","FINALIZADO"))))</f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si="282"/>
        <v/>
      </c>
      <c r="K9091" s="11" t="str">
        <f t="shared" si="283"/>
        <v/>
      </c>
    </row>
    <row r="9092" spans="2:11" x14ac:dyDescent="0.2">
      <c r="B9092" t="str">
        <f t="shared" ref="B9092:B9155" si="284">IF(A9092="","",IF(E9092="","NÃO CHEGOU",IF(K9092&gt;$N$1,"AGUARDANDO NO LABORATORIO",IF(M9092="","ATRASADO","FINALIZADO"))))</f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si="284"/>
        <v/>
      </c>
      <c r="K9155" s="11" t="str">
        <f t="shared" si="285"/>
        <v/>
      </c>
    </row>
    <row r="9156" spans="2:11" x14ac:dyDescent="0.2">
      <c r="B9156" t="str">
        <f t="shared" ref="B9156:B9219" si="286">IF(A9156="","",IF(E9156="","NÃO CHEGOU",IF(K9156&gt;$N$1,"AGUARDANDO NO LABORATORIO",IF(M9156="","ATRASADO","FINALIZADO"))))</f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si="286"/>
        <v/>
      </c>
      <c r="K9219" s="11" t="str">
        <f t="shared" si="287"/>
        <v/>
      </c>
    </row>
    <row r="9220" spans="2:11" x14ac:dyDescent="0.2">
      <c r="B9220" t="str">
        <f t="shared" ref="B9220:B9283" si="288">IF(A9220="","",IF(E9220="","NÃO CHEGOU",IF(K9220&gt;$N$1,"AGUARDANDO NO LABORATORIO",IF(M9220="","ATRASADO","FINALIZADO"))))</f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si="288"/>
        <v/>
      </c>
      <c r="K9283" s="11" t="str">
        <f t="shared" si="289"/>
        <v/>
      </c>
    </row>
    <row r="9284" spans="2:11" x14ac:dyDescent="0.2">
      <c r="B9284" t="str">
        <f t="shared" ref="B9284:B9347" si="290">IF(A9284="","",IF(E9284="","NÃO CHEGOU",IF(K9284&gt;$N$1,"AGUARDANDO NO LABORATORIO",IF(M9284="","ATRASADO","FINALIZADO"))))</f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si="290"/>
        <v/>
      </c>
      <c r="K9347" s="11" t="str">
        <f t="shared" si="291"/>
        <v/>
      </c>
    </row>
    <row r="9348" spans="2:11" x14ac:dyDescent="0.2">
      <c r="B9348" t="str">
        <f t="shared" ref="B9348:B9411" si="292">IF(A9348="","",IF(E9348="","NÃO CHEGOU",IF(K9348&gt;$N$1,"AGUARDANDO NO LABORATORIO",IF(M9348="","ATRASADO","FINALIZADO"))))</f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si="292"/>
        <v/>
      </c>
      <c r="K9411" s="11" t="str">
        <f t="shared" si="293"/>
        <v/>
      </c>
    </row>
    <row r="9412" spans="2:11" x14ac:dyDescent="0.2">
      <c r="B9412" t="str">
        <f t="shared" ref="B9412:B9475" si="294">IF(A9412="","",IF(E9412="","NÃO CHEGOU",IF(K9412&gt;$N$1,"AGUARDANDO NO LABORATORIO",IF(M9412="","ATRASADO","FINALIZADO"))))</f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si="294"/>
        <v/>
      </c>
      <c r="K9475" s="11" t="str">
        <f t="shared" si="295"/>
        <v/>
      </c>
    </row>
    <row r="9476" spans="2:11" x14ac:dyDescent="0.2">
      <c r="B9476" t="str">
        <f t="shared" ref="B9476:B9539" si="296">IF(A9476="","",IF(E9476="","NÃO CHEGOU",IF(K9476&gt;$N$1,"AGUARDANDO NO LABORATORIO",IF(M9476="","ATRASADO","FINALIZADO"))))</f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si="296"/>
        <v/>
      </c>
      <c r="K9539" s="11" t="str">
        <f t="shared" si="297"/>
        <v/>
      </c>
    </row>
    <row r="9540" spans="2:11" x14ac:dyDescent="0.2">
      <c r="B9540" t="str">
        <f t="shared" ref="B9540:B9603" si="298">IF(A9540="","",IF(E9540="","NÃO CHEGOU",IF(K9540&gt;$N$1,"AGUARDANDO NO LABORATORIO",IF(M9540="","ATRASADO","FINALIZADO"))))</f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si="298"/>
        <v/>
      </c>
      <c r="K9603" s="11" t="str">
        <f t="shared" si="299"/>
        <v/>
      </c>
    </row>
    <row r="9604" spans="2:11" x14ac:dyDescent="0.2">
      <c r="B9604" t="str">
        <f t="shared" ref="B9604:B9667" si="300">IF(A9604="","",IF(E9604="","NÃO CHEGOU",IF(K9604&gt;$N$1,"AGUARDANDO NO LABORATORIO",IF(M9604="","ATRASADO","FINALIZADO"))))</f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si="300"/>
        <v/>
      </c>
      <c r="K9667" s="11" t="str">
        <f t="shared" si="301"/>
        <v/>
      </c>
    </row>
    <row r="9668" spans="2:11" x14ac:dyDescent="0.2">
      <c r="B9668" t="str">
        <f t="shared" ref="B9668:B9731" si="302">IF(A9668="","",IF(E9668="","NÃO CHEGOU",IF(K9668&gt;$N$1,"AGUARDANDO NO LABORATORIO",IF(M9668="","ATRASADO","FINALIZADO"))))</f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si="302"/>
        <v/>
      </c>
      <c r="K9731" s="11" t="str">
        <f t="shared" si="303"/>
        <v/>
      </c>
    </row>
    <row r="9732" spans="2:11" x14ac:dyDescent="0.2">
      <c r="B9732" t="str">
        <f t="shared" ref="B9732:B9795" si="304">IF(A9732="","",IF(E9732="","NÃO CHEGOU",IF(K9732&gt;$N$1,"AGUARDANDO NO LABORATORIO",IF(M9732="","ATRASADO","FINALIZADO"))))</f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si="304"/>
        <v/>
      </c>
      <c r="K9795" s="11" t="str">
        <f t="shared" si="305"/>
        <v/>
      </c>
    </row>
    <row r="9796" spans="2:11" x14ac:dyDescent="0.2">
      <c r="B9796" t="str">
        <f t="shared" ref="B9796:B9859" si="306">IF(A9796="","",IF(E9796="","NÃO CHEGOU",IF(K9796&gt;$N$1,"AGUARDANDO NO LABORATORIO",IF(M9796="","ATRASADO","FINALIZADO"))))</f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si="306"/>
        <v/>
      </c>
      <c r="K9859" s="11" t="str">
        <f t="shared" si="307"/>
        <v/>
      </c>
    </row>
    <row r="9860" spans="2:11" x14ac:dyDescent="0.2">
      <c r="B9860" t="str">
        <f t="shared" ref="B9860:B9923" si="308">IF(A9860="","",IF(E9860="","NÃO CHEGOU",IF(K9860&gt;$N$1,"AGUARDANDO NO LABORATORIO",IF(M9860="","ATRASADO","FINALIZADO"))))</f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si="308"/>
        <v/>
      </c>
      <c r="K9923" s="11" t="str">
        <f t="shared" si="309"/>
        <v/>
      </c>
    </row>
    <row r="9924" spans="2:11" x14ac:dyDescent="0.2">
      <c r="B9924" t="str">
        <f t="shared" ref="B9924:B9987" si="310">IF(A9924="","",IF(E9924="","NÃO CHEGOU",IF(K9924&gt;$N$1,"AGUARDANDO NO LABORATORIO",IF(M9924="","ATRASADO","FINALIZADO"))))</f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si="310"/>
        <v/>
      </c>
      <c r="K9987" s="11" t="str">
        <f t="shared" si="311"/>
        <v/>
      </c>
    </row>
    <row r="9988" spans="2:11" x14ac:dyDescent="0.2">
      <c r="B9988" t="str">
        <f t="shared" ref="B9988:B10051" si="312">IF(A9988="","",IF(E9988="","NÃO CHEGOU",IF(K9988&gt;$N$1,"AGUARDANDO NO LABORATORIO",IF(M9988="","ATRASADO","FINALIZADO"))))</f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si="312"/>
        <v/>
      </c>
      <c r="K10051" s="11" t="str">
        <f t="shared" si="313"/>
        <v/>
      </c>
    </row>
    <row r="10052" spans="2:11" x14ac:dyDescent="0.2">
      <c r="B10052" t="str">
        <f t="shared" ref="B10052:B10115" si="314">IF(A10052="","",IF(E10052="","NÃO CHEGOU",IF(K10052&gt;$N$1,"AGUARDANDO NO LABORATORIO",IF(M10052="","ATRASADO","FINALIZADO"))))</f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si="314"/>
        <v/>
      </c>
      <c r="K10115" s="11" t="str">
        <f t="shared" si="315"/>
        <v/>
      </c>
    </row>
    <row r="10116" spans="2:11" x14ac:dyDescent="0.2">
      <c r="B10116" t="str">
        <f t="shared" ref="B10116:B10179" si="316">IF(A10116="","",IF(E10116="","NÃO CHEGOU",IF(K10116&gt;$N$1,"AGUARDANDO NO LABORATORIO",IF(M10116="","ATRASADO","FINALIZADO"))))</f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si="316"/>
        <v/>
      </c>
      <c r="K10179" s="11" t="str">
        <f t="shared" si="317"/>
        <v/>
      </c>
    </row>
    <row r="10180" spans="2:11" x14ac:dyDescent="0.2">
      <c r="B10180" t="str">
        <f t="shared" ref="B10180:B10243" si="318">IF(A10180="","",IF(E10180="","NÃO CHEGOU",IF(K10180&gt;$N$1,"AGUARDANDO NO LABORATORIO",IF(M10180="","ATRASADO","FINALIZADO"))))</f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si="318"/>
        <v/>
      </c>
      <c r="K10243" s="11" t="str">
        <f t="shared" si="319"/>
        <v/>
      </c>
    </row>
    <row r="10244" spans="2:11" x14ac:dyDescent="0.2">
      <c r="B10244" t="str">
        <f t="shared" ref="B10244:B10307" si="320">IF(A10244="","",IF(E10244="","NÃO CHEGOU",IF(K10244&gt;$N$1,"AGUARDANDO NO LABORATORIO",IF(M10244="","ATRASADO","FINALIZADO"))))</f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si="320"/>
        <v/>
      </c>
      <c r="K10307" s="11" t="str">
        <f t="shared" si="321"/>
        <v/>
      </c>
    </row>
    <row r="10308" spans="2:11" x14ac:dyDescent="0.2">
      <c r="B10308" t="str">
        <f t="shared" ref="B10308:B10371" si="322">IF(A10308="","",IF(E10308="","NÃO CHEGOU",IF(K10308&gt;$N$1,"AGUARDANDO NO LABORATORIO",IF(M10308="","ATRASADO","FINALIZADO"))))</f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si="322"/>
        <v/>
      </c>
      <c r="K10371" s="11" t="str">
        <f t="shared" si="323"/>
        <v/>
      </c>
    </row>
    <row r="10372" spans="2:11" x14ac:dyDescent="0.2">
      <c r="B10372" t="str">
        <f t="shared" ref="B10372:B10435" si="324">IF(A10372="","",IF(E10372="","NÃO CHEGOU",IF(K10372&gt;$N$1,"AGUARDANDO NO LABORATORIO",IF(M10372="","ATRASADO","FINALIZADO"))))</f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si="324"/>
        <v/>
      </c>
      <c r="K10435" s="11" t="str">
        <f t="shared" si="325"/>
        <v/>
      </c>
    </row>
    <row r="10436" spans="2:11" x14ac:dyDescent="0.2">
      <c r="B10436" t="str">
        <f t="shared" ref="B10436:B10499" si="326">IF(A10436="","",IF(E10436="","NÃO CHEGOU",IF(K10436&gt;$N$1,"AGUARDANDO NO LABORATORIO",IF(M10436="","ATRASADO","FINALIZADO"))))</f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si="326"/>
        <v/>
      </c>
      <c r="K10499" s="11" t="str">
        <f t="shared" si="327"/>
        <v/>
      </c>
    </row>
    <row r="10500" spans="2:11" x14ac:dyDescent="0.2">
      <c r="B10500" t="str">
        <f t="shared" ref="B10500:B10563" si="328">IF(A10500="","",IF(E10500="","NÃO CHEGOU",IF(K10500&gt;$N$1,"AGUARDANDO NO LABORATORIO",IF(M10500="","ATRASADO","FINALIZADO"))))</f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si="328"/>
        <v/>
      </c>
      <c r="K10563" s="11" t="str">
        <f t="shared" si="329"/>
        <v/>
      </c>
    </row>
    <row r="10564" spans="2:11" x14ac:dyDescent="0.2">
      <c r="B10564" t="str">
        <f t="shared" ref="B10564:B10585" si="330">IF(A10564="","",IF(E10564="","NÃO CHEGOU",IF(K10564&gt;$N$1,"AGUARDANDO NO LABORATORIO",IF(M10564="","ATRASADO","FINALIZADO"))))</f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D3 C57:N1000 C15:D56 A4:A1000 C4:C14 F3:N56 B4:B10585">
    <cfRule type="expression" dxfId="2" priority="3">
      <formula>AND(SUMPRODUCT(--($I$3:$I$1000=$I3),--($J$3:$J$1000&lt;=$J3),--($K$3:$K$1000&gt;$J3))&gt;1,NOT($A1=0))</formula>
    </cfRule>
  </conditionalFormatting>
  <conditionalFormatting sqref="E3:E56">
    <cfRule type="expression" dxfId="1" priority="2">
      <formula>AND(SUMPRODUCT(--($I$3:$I$1000=$I3),--($J$3:$J$1000&lt;=$J3),--($K$3:$K$1000&gt;$J3))&gt;1,NOT($A1=0))</formula>
    </cfRule>
  </conditionalFormatting>
  <conditionalFormatting sqref="D4:D14">
    <cfRule type="expression" dxfId="0" priority="1">
      <formula>AND(SUMPRODUCT(--($I$3:$I$1000=$I4),--($J$3:$J$1000&lt;=$J4),--($K$3:$K$1000&gt;$J4))&gt;1,NOT($A2=0))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223"/>
  <sheetViews>
    <sheetView topLeftCell="A70" workbookViewId="0">
      <selection activeCell="B78" sqref="B78"/>
    </sheetView>
  </sheetViews>
  <sheetFormatPr defaultColWidth="0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16384" width="9.140625" hidden="1"/>
  </cols>
  <sheetData>
    <row r="1" spans="1:5" x14ac:dyDescent="0.2">
      <c r="A1" s="16" t="s">
        <v>16</v>
      </c>
      <c r="B1" s="16"/>
      <c r="C1" s="16"/>
      <c r="D1" s="16"/>
      <c r="E1" s="16"/>
    </row>
    <row r="2" spans="1:5" x14ac:dyDescent="0.2">
      <c r="A2" s="3" t="s">
        <v>10</v>
      </c>
      <c r="B2" s="3" t="s">
        <v>13</v>
      </c>
      <c r="C2" s="4" t="s">
        <v>11</v>
      </c>
      <c r="D2" s="3" t="s">
        <v>12</v>
      </c>
      <c r="E2" s="3" t="s">
        <v>247</v>
      </c>
    </row>
    <row r="3" spans="1:5" ht="30" x14ac:dyDescent="0.2">
      <c r="A3" s="5" t="s">
        <v>17</v>
      </c>
      <c r="B3" s="6">
        <v>4.1666666666666664E-2</v>
      </c>
      <c r="C3" s="5" t="s">
        <v>232</v>
      </c>
      <c r="D3" s="7" t="s">
        <v>242</v>
      </c>
      <c r="E3" s="8"/>
    </row>
    <row r="4" spans="1:5" ht="45" x14ac:dyDescent="0.2">
      <c r="A4" s="5" t="s">
        <v>18</v>
      </c>
      <c r="B4" s="6">
        <v>4.1666666666666664E-2</v>
      </c>
      <c r="C4" s="5" t="s">
        <v>232</v>
      </c>
      <c r="D4" s="7" t="s">
        <v>242</v>
      </c>
      <c r="E4" s="8"/>
    </row>
    <row r="5" spans="1:5" ht="45" x14ac:dyDescent="0.2">
      <c r="A5" s="5" t="s">
        <v>19</v>
      </c>
      <c r="B5" s="6">
        <v>4.1666666666666664E-2</v>
      </c>
      <c r="C5" s="5" t="s">
        <v>232</v>
      </c>
      <c r="D5" s="7" t="s">
        <v>242</v>
      </c>
      <c r="E5" s="8"/>
    </row>
    <row r="6" spans="1:5" ht="45" x14ac:dyDescent="0.2">
      <c r="A6" s="5" t="s">
        <v>20</v>
      </c>
      <c r="B6" s="6">
        <v>4.1666666666666664E-2</v>
      </c>
      <c r="C6" s="5" t="s">
        <v>233</v>
      </c>
      <c r="D6" s="7" t="s">
        <v>242</v>
      </c>
      <c r="E6" s="8"/>
    </row>
    <row r="7" spans="1:5" ht="60" x14ac:dyDescent="0.2">
      <c r="A7" s="5" t="s">
        <v>21</v>
      </c>
      <c r="B7" s="6">
        <v>4.1666666666666664E-2</v>
      </c>
      <c r="C7" s="5" t="s">
        <v>232</v>
      </c>
      <c r="D7" s="7" t="s">
        <v>242</v>
      </c>
      <c r="E7" s="8"/>
    </row>
    <row r="8" spans="1:5" ht="30" x14ac:dyDescent="0.2">
      <c r="A8" s="5" t="s">
        <v>22</v>
      </c>
      <c r="B8" s="6">
        <v>4.1666666666666664E-2</v>
      </c>
      <c r="C8" s="5" t="s">
        <v>233</v>
      </c>
      <c r="D8" s="7" t="s">
        <v>242</v>
      </c>
      <c r="E8" s="8"/>
    </row>
    <row r="9" spans="1:5" ht="45" x14ac:dyDescent="0.2">
      <c r="A9" s="5" t="s">
        <v>23</v>
      </c>
      <c r="B9" s="6">
        <v>4.1666666666666664E-2</v>
      </c>
      <c r="C9" s="5" t="s">
        <v>232</v>
      </c>
      <c r="D9" s="7" t="s">
        <v>243</v>
      </c>
      <c r="E9" s="8"/>
    </row>
    <row r="10" spans="1:5" ht="45" x14ac:dyDescent="0.2">
      <c r="A10" s="5" t="s">
        <v>24</v>
      </c>
      <c r="B10" s="6">
        <v>4.1666666666666664E-2</v>
      </c>
      <c r="C10" s="5" t="s">
        <v>233</v>
      </c>
      <c r="D10" s="7" t="s">
        <v>242</v>
      </c>
      <c r="E10" s="8"/>
    </row>
    <row r="11" spans="1:5" ht="45" x14ac:dyDescent="0.2">
      <c r="A11" s="5" t="s">
        <v>25</v>
      </c>
      <c r="B11" s="6">
        <v>4.1666666666666664E-2</v>
      </c>
      <c r="C11" s="5" t="s">
        <v>232</v>
      </c>
      <c r="D11" s="7" t="s">
        <v>243</v>
      </c>
      <c r="E11" s="8"/>
    </row>
    <row r="12" spans="1:5" ht="60" x14ac:dyDescent="0.2">
      <c r="A12" s="5" t="s">
        <v>26</v>
      </c>
      <c r="B12" s="6">
        <v>5.2083333333333336E-2</v>
      </c>
      <c r="C12" s="5" t="s">
        <v>232</v>
      </c>
      <c r="D12" s="7" t="s">
        <v>243</v>
      </c>
      <c r="E12" s="8"/>
    </row>
    <row r="13" spans="1:5" ht="45" x14ac:dyDescent="0.2">
      <c r="A13" s="5" t="s">
        <v>27</v>
      </c>
      <c r="B13" s="6">
        <v>5.2083333333333336E-2</v>
      </c>
      <c r="C13" s="5" t="s">
        <v>232</v>
      </c>
      <c r="D13" s="7" t="s">
        <v>243</v>
      </c>
      <c r="E13" s="8"/>
    </row>
    <row r="14" spans="1:5" ht="45" x14ac:dyDescent="0.2">
      <c r="A14" s="5" t="s">
        <v>28</v>
      </c>
      <c r="B14" s="6">
        <v>4.1666666666666664E-2</v>
      </c>
      <c r="C14" s="5" t="s">
        <v>233</v>
      </c>
      <c r="D14" s="7" t="s">
        <v>242</v>
      </c>
      <c r="E14" s="8"/>
    </row>
    <row r="15" spans="1:5" ht="135" x14ac:dyDescent="0.2">
      <c r="A15" s="5" t="s">
        <v>29</v>
      </c>
      <c r="B15" s="6">
        <v>5.2083333333333336E-2</v>
      </c>
      <c r="C15" s="5" t="s">
        <v>232</v>
      </c>
      <c r="D15" s="7" t="s">
        <v>242</v>
      </c>
      <c r="E15" s="8"/>
    </row>
    <row r="16" spans="1:5" ht="30" x14ac:dyDescent="0.2">
      <c r="A16" s="5" t="s">
        <v>30</v>
      </c>
      <c r="B16" s="6">
        <v>6.25E-2</v>
      </c>
      <c r="C16" s="5" t="s">
        <v>233</v>
      </c>
      <c r="D16" s="7" t="s">
        <v>242</v>
      </c>
      <c r="E16" s="8"/>
    </row>
    <row r="17" spans="1:5" ht="30" x14ac:dyDescent="0.2">
      <c r="A17" s="5" t="s">
        <v>31</v>
      </c>
      <c r="B17" s="6">
        <v>0.10416666666666667</v>
      </c>
      <c r="C17" s="5" t="s">
        <v>233</v>
      </c>
      <c r="D17" s="7" t="s">
        <v>242</v>
      </c>
      <c r="E17" s="8"/>
    </row>
    <row r="18" spans="1:5" ht="45" x14ac:dyDescent="0.2">
      <c r="A18" s="5" t="s">
        <v>32</v>
      </c>
      <c r="B18" s="6">
        <v>4.1666666666666664E-2</v>
      </c>
      <c r="C18" s="5" t="s">
        <v>232</v>
      </c>
      <c r="D18" s="7" t="s">
        <v>242</v>
      </c>
      <c r="E18" s="8"/>
    </row>
    <row r="19" spans="1:5" ht="30" x14ac:dyDescent="0.2">
      <c r="A19" s="5" t="s">
        <v>33</v>
      </c>
      <c r="B19" s="6">
        <v>4.1666666666666664E-2</v>
      </c>
      <c r="C19" s="5" t="s">
        <v>233</v>
      </c>
      <c r="D19" s="7" t="s">
        <v>242</v>
      </c>
      <c r="E19" s="8"/>
    </row>
    <row r="20" spans="1:5" ht="30" x14ac:dyDescent="0.2">
      <c r="A20" s="5" t="s">
        <v>34</v>
      </c>
      <c r="B20" s="6">
        <v>6.25E-2</v>
      </c>
      <c r="C20" s="5" t="s">
        <v>232</v>
      </c>
      <c r="D20" s="7" t="s">
        <v>242</v>
      </c>
      <c r="E20" s="8"/>
    </row>
    <row r="21" spans="1:5" ht="45" x14ac:dyDescent="0.2">
      <c r="A21" s="5" t="s">
        <v>35</v>
      </c>
      <c r="B21" s="6">
        <v>6.25E-2</v>
      </c>
      <c r="C21" s="5" t="s">
        <v>232</v>
      </c>
      <c r="D21" s="7" t="s">
        <v>242</v>
      </c>
      <c r="E21" s="8"/>
    </row>
    <row r="22" spans="1:5" ht="60" x14ac:dyDescent="0.2">
      <c r="A22" s="5" t="s">
        <v>36</v>
      </c>
      <c r="B22" s="6">
        <v>4.1666666666666664E-2</v>
      </c>
      <c r="C22" s="5" t="s">
        <v>232</v>
      </c>
      <c r="D22" s="7" t="s">
        <v>242</v>
      </c>
      <c r="E22" s="8"/>
    </row>
    <row r="23" spans="1:5" ht="30" x14ac:dyDescent="0.2">
      <c r="A23" s="5" t="s">
        <v>37</v>
      </c>
      <c r="B23" s="6">
        <v>0.16666666666666666</v>
      </c>
      <c r="C23" s="5" t="s">
        <v>232</v>
      </c>
      <c r="D23" s="7" t="s">
        <v>242</v>
      </c>
      <c r="E23" s="8"/>
    </row>
    <row r="24" spans="1:5" ht="30" x14ac:dyDescent="0.2">
      <c r="A24" s="5" t="s">
        <v>38</v>
      </c>
      <c r="B24" s="6">
        <v>0.20833333333333334</v>
      </c>
      <c r="C24" s="5" t="s">
        <v>232</v>
      </c>
      <c r="D24" s="7" t="s">
        <v>242</v>
      </c>
      <c r="E24" s="8"/>
    </row>
    <row r="25" spans="1:5" ht="30" x14ac:dyDescent="0.2">
      <c r="A25" s="5" t="s">
        <v>39</v>
      </c>
      <c r="B25" s="6">
        <v>0.20833333333333334</v>
      </c>
      <c r="C25" s="5" t="s">
        <v>232</v>
      </c>
      <c r="D25" s="7" t="s">
        <v>242</v>
      </c>
      <c r="E25" s="8"/>
    </row>
    <row r="26" spans="1:5" ht="30" x14ac:dyDescent="0.2">
      <c r="A26" s="5" t="s">
        <v>40</v>
      </c>
      <c r="B26" s="6">
        <v>0.25</v>
      </c>
      <c r="C26" s="5" t="s">
        <v>232</v>
      </c>
      <c r="D26" s="7" t="s">
        <v>242</v>
      </c>
      <c r="E26" s="8"/>
    </row>
    <row r="27" spans="1:5" ht="30" x14ac:dyDescent="0.2">
      <c r="A27" s="5" t="s">
        <v>41</v>
      </c>
      <c r="B27" s="6">
        <v>0.25</v>
      </c>
      <c r="C27" s="5" t="s">
        <v>232</v>
      </c>
      <c r="D27" s="7" t="s">
        <v>242</v>
      </c>
      <c r="E27" s="8"/>
    </row>
    <row r="28" spans="1:5" ht="30" x14ac:dyDescent="0.2">
      <c r="A28" s="5" t="s">
        <v>42</v>
      </c>
      <c r="B28" s="6">
        <v>4.1666666666666664E-2</v>
      </c>
      <c r="C28" s="5" t="s">
        <v>232</v>
      </c>
      <c r="D28" s="7" t="s">
        <v>242</v>
      </c>
      <c r="E28" s="8"/>
    </row>
    <row r="29" spans="1:5" ht="15" x14ac:dyDescent="0.2">
      <c r="A29" s="5" t="s">
        <v>43</v>
      </c>
      <c r="B29" s="6">
        <v>6.25E-2</v>
      </c>
      <c r="C29" s="7" t="s">
        <v>233</v>
      </c>
      <c r="D29" s="7"/>
      <c r="E29" s="8"/>
    </row>
    <row r="30" spans="1:5" ht="30" x14ac:dyDescent="0.2">
      <c r="A30" s="5" t="s">
        <v>44</v>
      </c>
      <c r="B30" s="6">
        <v>6.25E-2</v>
      </c>
      <c r="C30" s="5" t="s">
        <v>233</v>
      </c>
      <c r="D30" s="7" t="s">
        <v>242</v>
      </c>
      <c r="E30" s="8"/>
    </row>
    <row r="31" spans="1:5" ht="15" x14ac:dyDescent="0.2">
      <c r="A31" s="5" t="s">
        <v>45</v>
      </c>
      <c r="B31" s="6">
        <v>6.25E-2</v>
      </c>
      <c r="C31" s="5" t="s">
        <v>233</v>
      </c>
      <c r="D31" s="7" t="s">
        <v>242</v>
      </c>
      <c r="E31" s="8"/>
    </row>
    <row r="32" spans="1:5" ht="45" x14ac:dyDescent="0.2">
      <c r="A32" s="5" t="s">
        <v>46</v>
      </c>
      <c r="B32" s="6">
        <v>4.1666666666666664E-2</v>
      </c>
      <c r="C32" s="5" t="s">
        <v>233</v>
      </c>
      <c r="D32" s="7" t="s">
        <v>242</v>
      </c>
      <c r="E32" s="8"/>
    </row>
    <row r="33" spans="1:5" ht="45" x14ac:dyDescent="0.2">
      <c r="A33" s="5" t="s">
        <v>47</v>
      </c>
      <c r="B33" s="6">
        <v>4.1666666666666664E-2</v>
      </c>
      <c r="C33" s="5" t="s">
        <v>233</v>
      </c>
      <c r="D33" s="7" t="s">
        <v>242</v>
      </c>
      <c r="E33" s="8"/>
    </row>
    <row r="34" spans="1:5" ht="75" x14ac:dyDescent="0.2">
      <c r="A34" s="5" t="s">
        <v>48</v>
      </c>
      <c r="B34" s="6">
        <v>0.5</v>
      </c>
      <c r="C34" s="5" t="s">
        <v>232</v>
      </c>
      <c r="D34" s="7" t="s">
        <v>242</v>
      </c>
      <c r="E34" s="8"/>
    </row>
    <row r="35" spans="1:5" ht="60" x14ac:dyDescent="0.2">
      <c r="A35" s="5" t="s">
        <v>49</v>
      </c>
      <c r="B35" s="6">
        <v>0.125</v>
      </c>
      <c r="C35" s="5" t="s">
        <v>232</v>
      </c>
      <c r="D35" s="7" t="s">
        <v>243</v>
      </c>
      <c r="E35" s="8"/>
    </row>
    <row r="36" spans="1:5" ht="45" x14ac:dyDescent="0.2">
      <c r="A36" s="5" t="s">
        <v>50</v>
      </c>
      <c r="B36" s="6"/>
      <c r="C36" s="5" t="s">
        <v>232</v>
      </c>
      <c r="D36" s="7" t="s">
        <v>243</v>
      </c>
      <c r="E36" s="8"/>
    </row>
    <row r="37" spans="1:5" ht="45" x14ac:dyDescent="0.2">
      <c r="A37" s="5" t="s">
        <v>51</v>
      </c>
      <c r="B37" s="6">
        <v>0.16666666666666666</v>
      </c>
      <c r="C37" s="5" t="s">
        <v>233</v>
      </c>
      <c r="D37" s="7" t="s">
        <v>242</v>
      </c>
      <c r="E37" s="8"/>
    </row>
    <row r="38" spans="1:5" ht="45" x14ac:dyDescent="0.2">
      <c r="A38" s="5" t="s">
        <v>52</v>
      </c>
      <c r="B38" s="6">
        <v>8.3333333333333329E-2</v>
      </c>
      <c r="C38" s="5" t="s">
        <v>233</v>
      </c>
      <c r="D38" s="7" t="s">
        <v>242</v>
      </c>
      <c r="E38" s="8"/>
    </row>
    <row r="39" spans="1:5" ht="45" x14ac:dyDescent="0.2">
      <c r="A39" s="5" t="s">
        <v>53</v>
      </c>
      <c r="B39" s="6">
        <v>6.25E-2</v>
      </c>
      <c r="C39" s="5" t="s">
        <v>232</v>
      </c>
      <c r="D39" s="7" t="s">
        <v>242</v>
      </c>
      <c r="E39" s="8"/>
    </row>
    <row r="40" spans="1:5" ht="45" x14ac:dyDescent="0.2">
      <c r="A40" s="5" t="s">
        <v>54</v>
      </c>
      <c r="B40" s="6">
        <v>6.25E-2</v>
      </c>
      <c r="C40" s="5" t="s">
        <v>232</v>
      </c>
      <c r="D40" s="7" t="s">
        <v>243</v>
      </c>
      <c r="E40" s="8"/>
    </row>
    <row r="41" spans="1:5" ht="30" x14ac:dyDescent="0.2">
      <c r="A41" s="5" t="s">
        <v>55</v>
      </c>
      <c r="B41" s="6">
        <v>8.3333333333333329E-2</v>
      </c>
      <c r="C41" s="5" t="s">
        <v>232</v>
      </c>
      <c r="D41" s="7" t="s">
        <v>242</v>
      </c>
      <c r="E41" s="8"/>
    </row>
    <row r="42" spans="1:5" ht="90" x14ac:dyDescent="0.2">
      <c r="A42" s="5" t="s">
        <v>56</v>
      </c>
      <c r="B42" s="6"/>
      <c r="C42" s="5" t="s">
        <v>232</v>
      </c>
      <c r="D42" s="7" t="s">
        <v>242</v>
      </c>
      <c r="E42" s="8"/>
    </row>
    <row r="43" spans="1:5" ht="30" x14ac:dyDescent="0.2">
      <c r="A43" s="5" t="s">
        <v>57</v>
      </c>
      <c r="B43" s="6">
        <v>4.1666666666666664E-2</v>
      </c>
      <c r="C43" s="5" t="s">
        <v>233</v>
      </c>
      <c r="D43" s="7" t="s">
        <v>242</v>
      </c>
      <c r="E43" s="8"/>
    </row>
    <row r="44" spans="1:5" ht="30" x14ac:dyDescent="0.2">
      <c r="A44" s="5" t="s">
        <v>58</v>
      </c>
      <c r="B44" s="6">
        <v>4.1666666666666664E-2</v>
      </c>
      <c r="C44" s="5" t="s">
        <v>233</v>
      </c>
      <c r="D44" s="7" t="s">
        <v>242</v>
      </c>
      <c r="E44" s="8"/>
    </row>
    <row r="45" spans="1:5" ht="30" x14ac:dyDescent="0.2">
      <c r="A45" s="5" t="s">
        <v>59</v>
      </c>
      <c r="B45" s="6">
        <v>8.3333333333333329E-2</v>
      </c>
      <c r="C45" s="5" t="s">
        <v>232</v>
      </c>
      <c r="D45" s="7" t="s">
        <v>242</v>
      </c>
      <c r="E45" s="8"/>
    </row>
    <row r="46" spans="1:5" ht="30" x14ac:dyDescent="0.2">
      <c r="A46" s="5" t="s">
        <v>60</v>
      </c>
      <c r="B46" s="6">
        <v>8.3333333333333329E-2</v>
      </c>
      <c r="C46" s="5" t="s">
        <v>232</v>
      </c>
      <c r="D46" s="7" t="s">
        <v>242</v>
      </c>
      <c r="E46" s="8"/>
    </row>
    <row r="47" spans="1:5" ht="30" x14ac:dyDescent="0.2">
      <c r="A47" s="5" t="s">
        <v>61</v>
      </c>
      <c r="B47" s="6">
        <v>4.1666666666666664E-2</v>
      </c>
      <c r="C47" s="5" t="s">
        <v>232</v>
      </c>
      <c r="D47" s="7" t="s">
        <v>242</v>
      </c>
      <c r="E47" s="8"/>
    </row>
    <row r="48" spans="1:5" ht="30" x14ac:dyDescent="0.2">
      <c r="A48" s="5" t="s">
        <v>62</v>
      </c>
      <c r="B48" s="6">
        <v>0.16666666666666666</v>
      </c>
      <c r="C48" s="5" t="s">
        <v>233</v>
      </c>
      <c r="D48" s="7" t="s">
        <v>242</v>
      </c>
      <c r="E48" s="8"/>
    </row>
    <row r="49" spans="1:5" ht="30" x14ac:dyDescent="0.2">
      <c r="A49" s="5" t="s">
        <v>63</v>
      </c>
      <c r="B49" s="6"/>
      <c r="C49" s="5" t="s">
        <v>233</v>
      </c>
      <c r="D49" s="7"/>
      <c r="E49" s="8"/>
    </row>
    <row r="50" spans="1:5" ht="30" x14ac:dyDescent="0.2">
      <c r="A50" s="5" t="s">
        <v>64</v>
      </c>
      <c r="B50" s="6">
        <v>0.16666666666666666</v>
      </c>
      <c r="C50" s="5" t="s">
        <v>233</v>
      </c>
      <c r="D50" s="7" t="s">
        <v>242</v>
      </c>
      <c r="E50" s="8"/>
    </row>
    <row r="51" spans="1:5" ht="30" x14ac:dyDescent="0.2">
      <c r="A51" s="5" t="s">
        <v>65</v>
      </c>
      <c r="B51" s="6">
        <v>0.125</v>
      </c>
      <c r="C51" s="5" t="s">
        <v>233</v>
      </c>
      <c r="D51" s="7" t="s">
        <v>242</v>
      </c>
      <c r="E51" s="8"/>
    </row>
    <row r="52" spans="1:5" ht="30" x14ac:dyDescent="0.2">
      <c r="A52" s="5" t="s">
        <v>66</v>
      </c>
      <c r="B52" s="6">
        <v>0.125</v>
      </c>
      <c r="C52" s="5" t="s">
        <v>233</v>
      </c>
      <c r="D52" s="7" t="s">
        <v>242</v>
      </c>
      <c r="E52" s="8"/>
    </row>
    <row r="53" spans="1:5" ht="15" x14ac:dyDescent="0.2">
      <c r="A53" s="5" t="s">
        <v>67</v>
      </c>
      <c r="B53" s="6">
        <v>8.3333333333333329E-2</v>
      </c>
      <c r="C53" s="5" t="s">
        <v>233</v>
      </c>
      <c r="D53" s="7" t="s">
        <v>242</v>
      </c>
      <c r="E53" s="8"/>
    </row>
    <row r="54" spans="1:5" ht="45" x14ac:dyDescent="0.2">
      <c r="A54" s="5" t="s">
        <v>68</v>
      </c>
      <c r="B54" s="6">
        <v>4.1666666666666664E-2</v>
      </c>
      <c r="C54" s="5" t="s">
        <v>233</v>
      </c>
      <c r="D54" s="7" t="s">
        <v>242</v>
      </c>
      <c r="E54" s="8"/>
    </row>
    <row r="55" spans="1:5" ht="30" x14ac:dyDescent="0.2">
      <c r="A55" s="5" t="s">
        <v>69</v>
      </c>
      <c r="B55" s="6">
        <v>6.25E-2</v>
      </c>
      <c r="C55" s="5" t="s">
        <v>232</v>
      </c>
      <c r="D55" s="7" t="s">
        <v>242</v>
      </c>
      <c r="E55" s="8"/>
    </row>
    <row r="56" spans="1:5" ht="60" x14ac:dyDescent="0.2">
      <c r="A56" s="5" t="s">
        <v>70</v>
      </c>
      <c r="B56" s="6">
        <v>6.25E-2</v>
      </c>
      <c r="C56" s="5" t="s">
        <v>233</v>
      </c>
      <c r="D56" s="7"/>
      <c r="E56" s="8"/>
    </row>
    <row r="57" spans="1:5" ht="60" x14ac:dyDescent="0.2">
      <c r="A57" s="5" t="s">
        <v>71</v>
      </c>
      <c r="B57" s="6">
        <v>6.25E-2</v>
      </c>
      <c r="C57" s="5" t="s">
        <v>233</v>
      </c>
      <c r="D57" s="7" t="s">
        <v>242</v>
      </c>
      <c r="E57" s="8"/>
    </row>
    <row r="58" spans="1:5" ht="30" x14ac:dyDescent="0.2">
      <c r="A58" s="5" t="s">
        <v>72</v>
      </c>
      <c r="B58" s="6">
        <v>4.1666666666666664E-2</v>
      </c>
      <c r="C58" s="5" t="s">
        <v>232</v>
      </c>
      <c r="D58" s="7" t="s">
        <v>242</v>
      </c>
      <c r="E58" s="8"/>
    </row>
    <row r="59" spans="1:5" ht="45" x14ac:dyDescent="0.2">
      <c r="A59" s="5" t="s">
        <v>73</v>
      </c>
      <c r="B59" s="6">
        <v>4.1666666666666664E-2</v>
      </c>
      <c r="C59" s="5" t="s">
        <v>232</v>
      </c>
      <c r="D59" s="7" t="s">
        <v>242</v>
      </c>
      <c r="E59" s="8"/>
    </row>
    <row r="60" spans="1:5" ht="30" x14ac:dyDescent="0.2">
      <c r="A60" s="5" t="s">
        <v>74</v>
      </c>
      <c r="B60" s="6">
        <v>4.1666666666666664E-2</v>
      </c>
      <c r="C60" s="5" t="s">
        <v>233</v>
      </c>
      <c r="D60" s="7" t="s">
        <v>242</v>
      </c>
      <c r="E60" s="8"/>
    </row>
    <row r="61" spans="1:5" ht="45" x14ac:dyDescent="0.2">
      <c r="A61" s="5" t="s">
        <v>75</v>
      </c>
      <c r="B61" s="6">
        <v>4.1666666666666664E-2</v>
      </c>
      <c r="C61" s="5" t="s">
        <v>232</v>
      </c>
      <c r="D61" s="7" t="s">
        <v>242</v>
      </c>
      <c r="E61" s="8"/>
    </row>
    <row r="62" spans="1:5" ht="30" x14ac:dyDescent="0.2">
      <c r="A62" s="5" t="s">
        <v>76</v>
      </c>
      <c r="B62" s="6">
        <v>4.1666666666666664E-2</v>
      </c>
      <c r="C62" s="5" t="s">
        <v>232</v>
      </c>
      <c r="D62" s="7" t="s">
        <v>243</v>
      </c>
      <c r="E62" s="8"/>
    </row>
    <row r="63" spans="1:5" ht="30" x14ac:dyDescent="0.2">
      <c r="A63" s="5" t="s">
        <v>77</v>
      </c>
      <c r="B63" s="6">
        <v>4.1666666666666664E-2</v>
      </c>
      <c r="C63" s="5" t="s">
        <v>233</v>
      </c>
      <c r="D63" s="7" t="s">
        <v>242</v>
      </c>
      <c r="E63" s="8"/>
    </row>
    <row r="64" spans="1:5" ht="30" x14ac:dyDescent="0.2">
      <c r="A64" s="5" t="s">
        <v>78</v>
      </c>
      <c r="B64" s="6">
        <v>4.1666666666666664E-2</v>
      </c>
      <c r="C64" s="5" t="s">
        <v>233</v>
      </c>
      <c r="D64" s="7" t="s">
        <v>242</v>
      </c>
      <c r="E64" s="8"/>
    </row>
    <row r="65" spans="1:5" ht="45" x14ac:dyDescent="0.2">
      <c r="A65" s="5" t="s">
        <v>79</v>
      </c>
      <c r="B65" s="6">
        <v>4.1666666666666664E-2</v>
      </c>
      <c r="C65" s="5" t="s">
        <v>232</v>
      </c>
      <c r="D65" s="7" t="s">
        <v>243</v>
      </c>
      <c r="E65" s="8"/>
    </row>
    <row r="66" spans="1:5" ht="45" x14ac:dyDescent="0.2">
      <c r="A66" s="5" t="s">
        <v>80</v>
      </c>
      <c r="B66" s="6">
        <v>4.1666666666666664E-2</v>
      </c>
      <c r="C66" s="5" t="s">
        <v>234</v>
      </c>
      <c r="D66" s="7" t="s">
        <v>242</v>
      </c>
      <c r="E66" s="8"/>
    </row>
    <row r="67" spans="1:5" ht="60" x14ac:dyDescent="0.2">
      <c r="A67" s="5" t="s">
        <v>81</v>
      </c>
      <c r="B67" s="6">
        <v>4.1666666666666664E-2</v>
      </c>
      <c r="C67" s="5" t="s">
        <v>233</v>
      </c>
      <c r="D67" s="7" t="s">
        <v>242</v>
      </c>
      <c r="E67" s="8"/>
    </row>
    <row r="68" spans="1:5" ht="45" x14ac:dyDescent="0.2">
      <c r="A68" s="5" t="s">
        <v>82</v>
      </c>
      <c r="B68" s="6">
        <v>4.1666666666666664E-2</v>
      </c>
      <c r="C68" s="5" t="s">
        <v>233</v>
      </c>
      <c r="D68" s="7" t="s">
        <v>242</v>
      </c>
      <c r="E68" s="8"/>
    </row>
    <row r="69" spans="1:5" ht="45" x14ac:dyDescent="0.2">
      <c r="A69" s="5" t="s">
        <v>83</v>
      </c>
      <c r="B69" s="6">
        <v>8.3333333333333329E-2</v>
      </c>
      <c r="C69" s="5" t="s">
        <v>233</v>
      </c>
      <c r="D69" s="7" t="s">
        <v>242</v>
      </c>
      <c r="E69" s="8"/>
    </row>
    <row r="70" spans="1:5" ht="30" x14ac:dyDescent="0.2">
      <c r="A70" s="5" t="s">
        <v>84</v>
      </c>
      <c r="B70" s="6">
        <v>4.1666666666666664E-2</v>
      </c>
      <c r="C70" s="5" t="s">
        <v>232</v>
      </c>
      <c r="D70" s="7" t="s">
        <v>242</v>
      </c>
      <c r="E70" s="8"/>
    </row>
    <row r="71" spans="1:5" ht="30" x14ac:dyDescent="0.2">
      <c r="A71" s="5" t="s">
        <v>85</v>
      </c>
      <c r="B71" s="6">
        <v>4.1666666666666664E-2</v>
      </c>
      <c r="C71" s="5" t="s">
        <v>232</v>
      </c>
      <c r="D71" s="7" t="s">
        <v>242</v>
      </c>
      <c r="E71" s="8"/>
    </row>
    <row r="72" spans="1:5" ht="30" x14ac:dyDescent="0.2">
      <c r="A72" s="5" t="s">
        <v>86</v>
      </c>
      <c r="B72" s="6">
        <v>4.1666666666666664E-2</v>
      </c>
      <c r="C72" s="5" t="s">
        <v>232</v>
      </c>
      <c r="D72" s="7" t="s">
        <v>242</v>
      </c>
      <c r="E72" s="8"/>
    </row>
    <row r="73" spans="1:5" ht="45" x14ac:dyDescent="0.2">
      <c r="A73" s="5" t="s">
        <v>87</v>
      </c>
      <c r="B73" s="6">
        <v>6.25E-2</v>
      </c>
      <c r="C73" s="5" t="s">
        <v>233</v>
      </c>
      <c r="D73" s="7" t="s">
        <v>242</v>
      </c>
      <c r="E73" s="8"/>
    </row>
    <row r="74" spans="1:5" ht="60" x14ac:dyDescent="0.2">
      <c r="A74" s="5" t="s">
        <v>88</v>
      </c>
      <c r="B74" s="6">
        <v>8.3333333333333329E-2</v>
      </c>
      <c r="C74" s="5" t="s">
        <v>233</v>
      </c>
      <c r="D74" s="7" t="s">
        <v>242</v>
      </c>
      <c r="E74" s="8"/>
    </row>
    <row r="75" spans="1:5" ht="45" x14ac:dyDescent="0.2">
      <c r="A75" s="5" t="s">
        <v>89</v>
      </c>
      <c r="B75" s="6">
        <v>0.10416666666666667</v>
      </c>
      <c r="C75" s="5" t="s">
        <v>233</v>
      </c>
      <c r="D75" s="7" t="s">
        <v>242</v>
      </c>
      <c r="E75" s="8"/>
    </row>
    <row r="76" spans="1:5" ht="60" x14ac:dyDescent="0.2">
      <c r="A76" s="5" t="s">
        <v>90</v>
      </c>
      <c r="B76" s="6">
        <v>8.3333333333333329E-2</v>
      </c>
      <c r="C76" s="5" t="s">
        <v>233</v>
      </c>
      <c r="D76" s="7" t="s">
        <v>242</v>
      </c>
      <c r="E76" s="8"/>
    </row>
    <row r="77" spans="1:5" ht="45" x14ac:dyDescent="0.2">
      <c r="A77" s="5" t="s">
        <v>91</v>
      </c>
      <c r="B77" s="6">
        <v>8.3333333333333329E-2</v>
      </c>
      <c r="C77" s="5" t="s">
        <v>233</v>
      </c>
      <c r="D77" s="7" t="s">
        <v>242</v>
      </c>
      <c r="E77" s="8"/>
    </row>
    <row r="78" spans="1:5" ht="60" x14ac:dyDescent="0.2">
      <c r="A78" s="5" t="s">
        <v>92</v>
      </c>
      <c r="B78" s="6">
        <v>4.1666666666666664E-2</v>
      </c>
      <c r="C78" s="5" t="s">
        <v>232</v>
      </c>
      <c r="D78" s="7" t="s">
        <v>242</v>
      </c>
      <c r="E78" s="8"/>
    </row>
    <row r="79" spans="1:5" ht="30" x14ac:dyDescent="0.2">
      <c r="A79" s="5" t="s">
        <v>93</v>
      </c>
      <c r="B79" s="6">
        <v>6.25E-2</v>
      </c>
      <c r="C79" s="5" t="s">
        <v>232</v>
      </c>
      <c r="D79" s="7" t="s">
        <v>243</v>
      </c>
      <c r="E79" s="8"/>
    </row>
    <row r="80" spans="1:5" ht="30" x14ac:dyDescent="0.2">
      <c r="A80" s="5" t="s">
        <v>94</v>
      </c>
      <c r="B80" s="6">
        <v>4.1666666666666664E-2</v>
      </c>
      <c r="C80" s="5" t="s">
        <v>232</v>
      </c>
      <c r="D80" s="7" t="s">
        <v>243</v>
      </c>
      <c r="E80" s="8"/>
    </row>
    <row r="81" spans="1:5" ht="30" x14ac:dyDescent="0.2">
      <c r="A81" s="5" t="s">
        <v>95</v>
      </c>
      <c r="B81" s="6">
        <v>4.1666666666666664E-2</v>
      </c>
      <c r="C81" s="5" t="s">
        <v>232</v>
      </c>
      <c r="D81" s="7" t="s">
        <v>243</v>
      </c>
      <c r="E81" s="8"/>
    </row>
    <row r="82" spans="1:5" ht="30" x14ac:dyDescent="0.2">
      <c r="A82" s="5" t="s">
        <v>96</v>
      </c>
      <c r="B82" s="6">
        <v>6.25E-2</v>
      </c>
      <c r="C82" s="5" t="s">
        <v>233</v>
      </c>
      <c r="D82" s="7" t="s">
        <v>243</v>
      </c>
      <c r="E82" s="8"/>
    </row>
    <row r="83" spans="1:5" ht="30" x14ac:dyDescent="0.2">
      <c r="A83" s="5" t="s">
        <v>97</v>
      </c>
      <c r="B83" s="6">
        <v>0.10416666666666667</v>
      </c>
      <c r="C83" s="5" t="s">
        <v>233</v>
      </c>
      <c r="D83" s="7" t="s">
        <v>242</v>
      </c>
      <c r="E83" s="8"/>
    </row>
    <row r="84" spans="1:5" ht="30" x14ac:dyDescent="0.2">
      <c r="A84" s="5" t="s">
        <v>98</v>
      </c>
      <c r="B84" s="6">
        <v>4.1666666666666664E-2</v>
      </c>
      <c r="C84" s="5" t="s">
        <v>232</v>
      </c>
      <c r="D84" s="7" t="s">
        <v>242</v>
      </c>
      <c r="E84" s="8"/>
    </row>
    <row r="85" spans="1:5" ht="15" x14ac:dyDescent="0.2">
      <c r="A85" s="5" t="s">
        <v>99</v>
      </c>
      <c r="B85" s="6">
        <v>4.1666666666666664E-2</v>
      </c>
      <c r="C85" s="5" t="s">
        <v>232</v>
      </c>
      <c r="D85" s="7" t="s">
        <v>242</v>
      </c>
      <c r="E85" s="8"/>
    </row>
    <row r="86" spans="1:5" ht="45" x14ac:dyDescent="0.2">
      <c r="A86" s="5" t="s">
        <v>100</v>
      </c>
      <c r="B86" s="6">
        <v>4.1666666666666664E-2</v>
      </c>
      <c r="C86" s="5" t="s">
        <v>233</v>
      </c>
      <c r="D86" s="7" t="s">
        <v>242</v>
      </c>
      <c r="E86" s="8"/>
    </row>
    <row r="87" spans="1:5" ht="45" x14ac:dyDescent="0.2">
      <c r="A87" s="5" t="s">
        <v>101</v>
      </c>
      <c r="B87" s="6">
        <v>4.1666666666666664E-2</v>
      </c>
      <c r="C87" s="5" t="s">
        <v>233</v>
      </c>
      <c r="D87" s="7" t="s">
        <v>242</v>
      </c>
      <c r="E87" s="8"/>
    </row>
    <row r="88" spans="1:5" ht="30" x14ac:dyDescent="0.2">
      <c r="A88" s="5" t="s">
        <v>102</v>
      </c>
      <c r="B88" s="6">
        <v>4.1666666666666664E-2</v>
      </c>
      <c r="C88" s="5" t="s">
        <v>232</v>
      </c>
      <c r="D88" s="7" t="s">
        <v>243</v>
      </c>
      <c r="E88" s="8"/>
    </row>
    <row r="89" spans="1:5" ht="45" x14ac:dyDescent="0.2">
      <c r="A89" s="5" t="s">
        <v>103</v>
      </c>
      <c r="B89" s="6">
        <v>4.1666666666666664E-2</v>
      </c>
      <c r="C89" s="5" t="s">
        <v>232</v>
      </c>
      <c r="D89" s="7" t="s">
        <v>242</v>
      </c>
      <c r="E89" s="8"/>
    </row>
    <row r="90" spans="1:5" ht="45" x14ac:dyDescent="0.2">
      <c r="A90" s="5" t="s">
        <v>104</v>
      </c>
      <c r="B90" s="6">
        <v>6.25E-2</v>
      </c>
      <c r="C90" s="5" t="s">
        <v>232</v>
      </c>
      <c r="D90" s="7" t="s">
        <v>242</v>
      </c>
      <c r="E90" s="8"/>
    </row>
    <row r="91" spans="1:5" ht="45" x14ac:dyDescent="0.2">
      <c r="A91" s="5" t="s">
        <v>105</v>
      </c>
      <c r="B91" s="6">
        <v>4.1666666666666664E-2</v>
      </c>
      <c r="C91" s="7" t="s">
        <v>233</v>
      </c>
      <c r="D91" s="7"/>
      <c r="E91" s="8"/>
    </row>
    <row r="92" spans="1:5" ht="30" x14ac:dyDescent="0.2">
      <c r="A92" s="5" t="s">
        <v>106</v>
      </c>
      <c r="B92" s="6">
        <v>4.1666666666666664E-2</v>
      </c>
      <c r="C92" s="5" t="s">
        <v>232</v>
      </c>
      <c r="D92" s="7" t="s">
        <v>242</v>
      </c>
      <c r="E92" s="8"/>
    </row>
    <row r="93" spans="1:5" ht="45" x14ac:dyDescent="0.2">
      <c r="A93" s="5" t="s">
        <v>107</v>
      </c>
      <c r="B93" s="6">
        <v>4.1666666666666664E-2</v>
      </c>
      <c r="C93" s="5" t="s">
        <v>232</v>
      </c>
      <c r="D93" s="7" t="s">
        <v>242</v>
      </c>
      <c r="E93" s="8"/>
    </row>
    <row r="94" spans="1:5" ht="30" x14ac:dyDescent="0.2">
      <c r="A94" s="5" t="s">
        <v>108</v>
      </c>
      <c r="B94" s="6">
        <v>6.25E-2</v>
      </c>
      <c r="C94" s="5" t="s">
        <v>232</v>
      </c>
      <c r="D94" s="7" t="s">
        <v>242</v>
      </c>
      <c r="E94" s="8"/>
    </row>
    <row r="95" spans="1:5" ht="45" x14ac:dyDescent="0.2">
      <c r="A95" s="5" t="s">
        <v>109</v>
      </c>
      <c r="B95" s="6">
        <v>6.25E-2</v>
      </c>
      <c r="C95" s="5" t="s">
        <v>233</v>
      </c>
      <c r="D95" s="7" t="s">
        <v>242</v>
      </c>
      <c r="E95" s="8"/>
    </row>
    <row r="96" spans="1:5" ht="30" x14ac:dyDescent="0.2">
      <c r="A96" s="5" t="s">
        <v>110</v>
      </c>
      <c r="B96" s="6">
        <v>8.3333333333333329E-2</v>
      </c>
      <c r="C96" s="5" t="s">
        <v>233</v>
      </c>
      <c r="D96" s="7" t="s">
        <v>242</v>
      </c>
      <c r="E96" s="8"/>
    </row>
    <row r="97" spans="1:5" ht="15" x14ac:dyDescent="0.2">
      <c r="A97" s="5" t="s">
        <v>111</v>
      </c>
      <c r="B97" s="6">
        <v>6.25E-2</v>
      </c>
      <c r="C97" s="5" t="s">
        <v>232</v>
      </c>
      <c r="D97" s="7" t="s">
        <v>242</v>
      </c>
      <c r="E97" s="8"/>
    </row>
    <row r="98" spans="1:5" ht="15" x14ac:dyDescent="0.2">
      <c r="A98" s="5" t="s">
        <v>112</v>
      </c>
      <c r="B98" s="6">
        <v>6.25E-2</v>
      </c>
      <c r="C98" s="5" t="s">
        <v>232</v>
      </c>
      <c r="D98" s="7" t="s">
        <v>243</v>
      </c>
      <c r="E98" s="8"/>
    </row>
    <row r="99" spans="1:5" ht="15" x14ac:dyDescent="0.2">
      <c r="A99" s="5" t="s">
        <v>113</v>
      </c>
      <c r="B99" s="6">
        <v>6.25E-2</v>
      </c>
      <c r="C99" s="5" t="s">
        <v>232</v>
      </c>
      <c r="D99" s="7" t="s">
        <v>242</v>
      </c>
      <c r="E99" s="8"/>
    </row>
    <row r="100" spans="1:5" ht="15" x14ac:dyDescent="0.2">
      <c r="A100" s="5" t="s">
        <v>114</v>
      </c>
      <c r="B100" s="6">
        <v>8.3333333333333329E-2</v>
      </c>
      <c r="C100" s="5" t="s">
        <v>232</v>
      </c>
      <c r="D100" s="7" t="s">
        <v>242</v>
      </c>
      <c r="E100" s="8"/>
    </row>
    <row r="101" spans="1:5" ht="15" x14ac:dyDescent="0.2">
      <c r="A101" s="5" t="s">
        <v>115</v>
      </c>
      <c r="B101" s="6">
        <v>8.3333333333333329E-2</v>
      </c>
      <c r="C101" s="5" t="s">
        <v>232</v>
      </c>
      <c r="D101" s="7" t="s">
        <v>242</v>
      </c>
      <c r="E101" s="8"/>
    </row>
    <row r="102" spans="1:5" ht="15" x14ac:dyDescent="0.2">
      <c r="A102" s="5" t="s">
        <v>116</v>
      </c>
      <c r="B102" s="6">
        <v>0.10416666666666667</v>
      </c>
      <c r="C102" s="5" t="s">
        <v>232</v>
      </c>
      <c r="D102" s="7" t="s">
        <v>242</v>
      </c>
      <c r="E102" s="8"/>
    </row>
    <row r="103" spans="1:5" ht="15" x14ac:dyDescent="0.2">
      <c r="A103" s="5" t="s">
        <v>117</v>
      </c>
      <c r="B103" s="6">
        <v>0.125</v>
      </c>
      <c r="C103" s="5" t="s">
        <v>232</v>
      </c>
      <c r="D103" s="7" t="s">
        <v>242</v>
      </c>
      <c r="E103" s="8"/>
    </row>
    <row r="104" spans="1:5" ht="45" x14ac:dyDescent="0.2">
      <c r="A104" s="5" t="s">
        <v>118</v>
      </c>
      <c r="B104" s="6">
        <v>8.3333333333333329E-2</v>
      </c>
      <c r="C104" s="5" t="s">
        <v>233</v>
      </c>
      <c r="D104" s="7" t="s">
        <v>243</v>
      </c>
      <c r="E104" s="8"/>
    </row>
    <row r="105" spans="1:5" ht="45" x14ac:dyDescent="0.2">
      <c r="A105" s="5" t="s">
        <v>119</v>
      </c>
      <c r="B105" s="6">
        <v>4.1666666666666664E-2</v>
      </c>
      <c r="C105" s="5" t="s">
        <v>232</v>
      </c>
      <c r="D105" s="7" t="s">
        <v>243</v>
      </c>
      <c r="E105" s="8"/>
    </row>
    <row r="106" spans="1:5" ht="45" x14ac:dyDescent="0.2">
      <c r="A106" s="5" t="s">
        <v>120</v>
      </c>
      <c r="B106" s="6">
        <v>6.25E-2</v>
      </c>
      <c r="C106" s="5" t="s">
        <v>235</v>
      </c>
      <c r="D106" s="7" t="s">
        <v>244</v>
      </c>
      <c r="E106" s="8"/>
    </row>
    <row r="107" spans="1:5" ht="75" x14ac:dyDescent="0.2">
      <c r="A107" s="5" t="s">
        <v>121</v>
      </c>
      <c r="B107" s="6">
        <v>2.0833333333333332E-2</v>
      </c>
      <c r="C107" s="5" t="s">
        <v>235</v>
      </c>
      <c r="D107" s="7" t="s">
        <v>245</v>
      </c>
      <c r="E107" s="8"/>
    </row>
    <row r="108" spans="1:5" ht="60" x14ac:dyDescent="0.2">
      <c r="A108" s="5" t="s">
        <v>122</v>
      </c>
      <c r="B108" s="6">
        <v>2.0833333333333332E-2</v>
      </c>
      <c r="C108" s="5" t="s">
        <v>235</v>
      </c>
      <c r="D108" s="7" t="s">
        <v>245</v>
      </c>
      <c r="E108" s="8"/>
    </row>
    <row r="109" spans="1:5" ht="30" x14ac:dyDescent="0.2">
      <c r="A109" s="5" t="s">
        <v>123</v>
      </c>
      <c r="B109" s="6">
        <v>0.16666666666666666</v>
      </c>
      <c r="C109" s="5" t="s">
        <v>235</v>
      </c>
      <c r="D109" s="7" t="s">
        <v>245</v>
      </c>
      <c r="E109" s="8"/>
    </row>
    <row r="110" spans="1:5" ht="45" x14ac:dyDescent="0.2">
      <c r="A110" s="5" t="s">
        <v>124</v>
      </c>
      <c r="B110" s="6">
        <v>4.1666666666666664E-2</v>
      </c>
      <c r="C110" s="5" t="s">
        <v>235</v>
      </c>
      <c r="D110" s="7" t="s">
        <v>245</v>
      </c>
      <c r="E110" s="8"/>
    </row>
    <row r="111" spans="1:5" ht="60" x14ac:dyDescent="0.2">
      <c r="A111" s="5" t="s">
        <v>125</v>
      </c>
      <c r="B111" s="6">
        <v>6.25E-2</v>
      </c>
      <c r="C111" s="5" t="s">
        <v>235</v>
      </c>
      <c r="D111" s="7" t="s">
        <v>245</v>
      </c>
      <c r="E111" s="8"/>
    </row>
    <row r="112" spans="1:5" ht="15" x14ac:dyDescent="0.2">
      <c r="A112" s="5" t="s">
        <v>126</v>
      </c>
      <c r="B112" s="6">
        <v>2.0833333333333332E-2</v>
      </c>
      <c r="C112" s="5" t="s">
        <v>235</v>
      </c>
      <c r="D112" s="7" t="s">
        <v>245</v>
      </c>
      <c r="E112" s="8"/>
    </row>
    <row r="113" spans="1:5" ht="60" x14ac:dyDescent="0.2">
      <c r="A113" s="5" t="s">
        <v>127</v>
      </c>
      <c r="B113" s="6">
        <v>2.0833333333333332E-2</v>
      </c>
      <c r="C113" s="5" t="s">
        <v>235</v>
      </c>
      <c r="D113" s="7" t="s">
        <v>245</v>
      </c>
      <c r="E113" s="8"/>
    </row>
    <row r="114" spans="1:5" ht="75" x14ac:dyDescent="0.2">
      <c r="A114" s="5" t="s">
        <v>128</v>
      </c>
      <c r="B114" s="6">
        <v>3.3333333333333333E-2</v>
      </c>
      <c r="C114" s="5" t="s">
        <v>235</v>
      </c>
      <c r="D114" s="7" t="s">
        <v>245</v>
      </c>
      <c r="E114" s="8"/>
    </row>
    <row r="115" spans="1:5" ht="60" x14ac:dyDescent="0.2">
      <c r="A115" s="5" t="s">
        <v>129</v>
      </c>
      <c r="B115" s="6">
        <v>0.1875</v>
      </c>
      <c r="C115" s="5" t="s">
        <v>235</v>
      </c>
      <c r="D115" s="7" t="s">
        <v>245</v>
      </c>
      <c r="E115" s="8"/>
    </row>
    <row r="116" spans="1:5" ht="75" x14ac:dyDescent="0.2">
      <c r="A116" s="5" t="s">
        <v>130</v>
      </c>
      <c r="B116" s="6">
        <v>8.3333333333333329E-2</v>
      </c>
      <c r="C116" s="5" t="s">
        <v>235</v>
      </c>
      <c r="D116" s="7" t="s">
        <v>245</v>
      </c>
      <c r="E116" s="8"/>
    </row>
    <row r="117" spans="1:5" ht="75" x14ac:dyDescent="0.2">
      <c r="A117" s="5" t="s">
        <v>131</v>
      </c>
      <c r="B117" s="6">
        <v>8.3333333333333329E-2</v>
      </c>
      <c r="C117" s="5" t="s">
        <v>235</v>
      </c>
      <c r="D117" s="7" t="s">
        <v>245</v>
      </c>
      <c r="E117" s="8"/>
    </row>
    <row r="118" spans="1:5" ht="75" x14ac:dyDescent="0.2">
      <c r="A118" s="5" t="s">
        <v>132</v>
      </c>
      <c r="B118" s="6">
        <v>8.3333333333333329E-2</v>
      </c>
      <c r="C118" s="5" t="s">
        <v>235</v>
      </c>
      <c r="D118" s="7" t="s">
        <v>245</v>
      </c>
      <c r="E118" s="8"/>
    </row>
    <row r="119" spans="1:5" ht="60" x14ac:dyDescent="0.2">
      <c r="A119" s="5" t="s">
        <v>133</v>
      </c>
      <c r="B119" s="6">
        <v>3.3333333333333333E-2</v>
      </c>
      <c r="C119" s="5" t="s">
        <v>235</v>
      </c>
      <c r="D119" s="7" t="s">
        <v>245</v>
      </c>
      <c r="E119" s="8"/>
    </row>
    <row r="120" spans="1:5" ht="30" x14ac:dyDescent="0.2">
      <c r="A120" s="5" t="s">
        <v>134</v>
      </c>
      <c r="B120" s="6">
        <v>3.3333333333333333E-2</v>
      </c>
      <c r="C120" s="5" t="s">
        <v>235</v>
      </c>
      <c r="D120" s="7" t="s">
        <v>245</v>
      </c>
      <c r="E120" s="8"/>
    </row>
    <row r="121" spans="1:5" ht="45" x14ac:dyDescent="0.2">
      <c r="A121" s="5" t="s">
        <v>135</v>
      </c>
      <c r="B121" s="6">
        <v>8.3333333333333329E-2</v>
      </c>
      <c r="C121" s="5" t="s">
        <v>235</v>
      </c>
      <c r="D121" s="7" t="s">
        <v>245</v>
      </c>
      <c r="E121" s="8"/>
    </row>
    <row r="122" spans="1:5" ht="30" x14ac:dyDescent="0.2">
      <c r="A122" s="5" t="s">
        <v>136</v>
      </c>
      <c r="B122" s="6">
        <v>6.25E-2</v>
      </c>
      <c r="C122" s="5" t="s">
        <v>235</v>
      </c>
      <c r="D122" s="7" t="s">
        <v>245</v>
      </c>
      <c r="E122" s="8"/>
    </row>
    <row r="123" spans="1:5" ht="45" x14ac:dyDescent="0.2">
      <c r="A123" s="5" t="s">
        <v>137</v>
      </c>
      <c r="B123" s="6">
        <v>8.3333333333333329E-2</v>
      </c>
      <c r="C123" s="5" t="s">
        <v>235</v>
      </c>
      <c r="D123" s="7" t="s">
        <v>245</v>
      </c>
      <c r="E123" s="8"/>
    </row>
    <row r="124" spans="1:5" ht="60" x14ac:dyDescent="0.2">
      <c r="A124" s="5" t="s">
        <v>138</v>
      </c>
      <c r="B124" s="6">
        <v>2.0833333333333332E-2</v>
      </c>
      <c r="C124" s="5" t="s">
        <v>235</v>
      </c>
      <c r="D124" s="7" t="s">
        <v>245</v>
      </c>
      <c r="E124" s="8"/>
    </row>
    <row r="125" spans="1:5" ht="15" x14ac:dyDescent="0.2">
      <c r="A125" s="5" t="s">
        <v>139</v>
      </c>
      <c r="B125" s="6">
        <v>3.3333333333333333E-2</v>
      </c>
      <c r="C125" s="5" t="s">
        <v>235</v>
      </c>
      <c r="D125" s="7" t="s">
        <v>245</v>
      </c>
      <c r="E125" s="8"/>
    </row>
    <row r="126" spans="1:5" ht="45" x14ac:dyDescent="0.2">
      <c r="A126" s="5" t="s">
        <v>140</v>
      </c>
      <c r="B126" s="6">
        <v>2.0833333333333332E-2</v>
      </c>
      <c r="C126" s="5" t="s">
        <v>235</v>
      </c>
      <c r="D126" s="7" t="s">
        <v>245</v>
      </c>
      <c r="E126" s="8"/>
    </row>
    <row r="127" spans="1:5" ht="45" x14ac:dyDescent="0.2">
      <c r="A127" s="5" t="s">
        <v>141</v>
      </c>
      <c r="B127" s="6">
        <v>2.0833333333333332E-2</v>
      </c>
      <c r="C127" s="5" t="s">
        <v>235</v>
      </c>
      <c r="D127" s="7" t="s">
        <v>245</v>
      </c>
      <c r="E127" s="8"/>
    </row>
    <row r="128" spans="1:5" ht="60" x14ac:dyDescent="0.2">
      <c r="A128" s="5" t="s">
        <v>142</v>
      </c>
      <c r="B128" s="6">
        <v>4.1666666666666664E-2</v>
      </c>
      <c r="C128" s="5" t="s">
        <v>235</v>
      </c>
      <c r="D128" s="7" t="s">
        <v>245</v>
      </c>
      <c r="E128" s="8"/>
    </row>
    <row r="129" spans="1:5" ht="60" x14ac:dyDescent="0.2">
      <c r="A129" s="5" t="s">
        <v>143</v>
      </c>
      <c r="B129" s="6">
        <v>2.0833333333333332E-2</v>
      </c>
      <c r="C129" s="5" t="s">
        <v>235</v>
      </c>
      <c r="D129" s="7" t="s">
        <v>245</v>
      </c>
      <c r="E129" s="8"/>
    </row>
    <row r="130" spans="1:5" ht="45" x14ac:dyDescent="0.2">
      <c r="A130" s="5" t="s">
        <v>144</v>
      </c>
      <c r="B130" s="6">
        <v>8.3333333333333329E-2</v>
      </c>
      <c r="C130" s="5" t="s">
        <v>235</v>
      </c>
      <c r="D130" s="7" t="s">
        <v>245</v>
      </c>
      <c r="E130" s="8"/>
    </row>
    <row r="131" spans="1:5" ht="45" x14ac:dyDescent="0.2">
      <c r="A131" s="5" t="s">
        <v>145</v>
      </c>
      <c r="B131" s="6">
        <v>8.3333333333333329E-2</v>
      </c>
      <c r="C131" s="5" t="s">
        <v>235</v>
      </c>
      <c r="D131" s="7" t="s">
        <v>245</v>
      </c>
      <c r="E131" s="8"/>
    </row>
    <row r="132" spans="1:5" ht="45" x14ac:dyDescent="0.2">
      <c r="A132" s="5" t="s">
        <v>146</v>
      </c>
      <c r="B132" s="6">
        <v>0.125</v>
      </c>
      <c r="C132" s="5" t="s">
        <v>235</v>
      </c>
      <c r="D132" s="7" t="s">
        <v>245</v>
      </c>
      <c r="E132" s="8"/>
    </row>
    <row r="133" spans="1:5" ht="45" x14ac:dyDescent="0.2">
      <c r="A133" s="5" t="s">
        <v>147</v>
      </c>
      <c r="B133" s="6">
        <v>0.1875</v>
      </c>
      <c r="C133" s="5" t="s">
        <v>235</v>
      </c>
      <c r="D133" s="7" t="s">
        <v>245</v>
      </c>
      <c r="E133" s="8"/>
    </row>
    <row r="134" spans="1:5" ht="45" x14ac:dyDescent="0.2">
      <c r="A134" s="5" t="s">
        <v>148</v>
      </c>
      <c r="B134" s="6">
        <v>0.1875</v>
      </c>
      <c r="C134" s="5" t="s">
        <v>235</v>
      </c>
      <c r="D134" s="7" t="s">
        <v>245</v>
      </c>
      <c r="E134" s="8"/>
    </row>
    <row r="135" spans="1:5" ht="15" x14ac:dyDescent="0.2">
      <c r="A135" s="5" t="s">
        <v>149</v>
      </c>
      <c r="B135" s="6">
        <v>2.0833333333333332E-2</v>
      </c>
      <c r="C135" s="5" t="s">
        <v>235</v>
      </c>
      <c r="D135" s="7" t="s">
        <v>245</v>
      </c>
      <c r="E135" s="8"/>
    </row>
    <row r="136" spans="1:5" ht="15" x14ac:dyDescent="0.2">
      <c r="A136" s="5" t="s">
        <v>150</v>
      </c>
      <c r="B136" s="6">
        <v>4.1666666666666664E-2</v>
      </c>
      <c r="C136" s="5" t="s">
        <v>235</v>
      </c>
      <c r="D136" s="7" t="s">
        <v>244</v>
      </c>
      <c r="E136" s="8"/>
    </row>
    <row r="137" spans="1:5" ht="30" x14ac:dyDescent="0.2">
      <c r="A137" s="5" t="s">
        <v>151</v>
      </c>
      <c r="B137" s="6">
        <v>2.4999999999999998E-2</v>
      </c>
      <c r="C137" s="7" t="s">
        <v>235</v>
      </c>
      <c r="D137" s="7" t="s">
        <v>245</v>
      </c>
      <c r="E137" s="8"/>
    </row>
    <row r="138" spans="1:5" ht="45" x14ac:dyDescent="0.2">
      <c r="A138" s="5" t="s">
        <v>152</v>
      </c>
      <c r="B138" s="6">
        <v>2.4999999999999998E-2</v>
      </c>
      <c r="C138" s="5" t="s">
        <v>235</v>
      </c>
      <c r="D138" s="7" t="s">
        <v>245</v>
      </c>
      <c r="E138" s="8"/>
    </row>
    <row r="139" spans="1:5" ht="60" x14ac:dyDescent="0.2">
      <c r="A139" s="5" t="s">
        <v>153</v>
      </c>
      <c r="B139" s="6">
        <v>2.4999999999999998E-2</v>
      </c>
      <c r="C139" s="5" t="s">
        <v>235</v>
      </c>
      <c r="D139" s="7" t="s">
        <v>245</v>
      </c>
      <c r="E139" s="8"/>
    </row>
    <row r="140" spans="1:5" ht="45" x14ac:dyDescent="0.2">
      <c r="A140" s="5" t="s">
        <v>154</v>
      </c>
      <c r="B140" s="6">
        <v>4.1666666666666664E-2</v>
      </c>
      <c r="C140" s="5" t="s">
        <v>235</v>
      </c>
      <c r="D140" s="7" t="s">
        <v>245</v>
      </c>
      <c r="E140" s="8"/>
    </row>
    <row r="141" spans="1:5" ht="30" x14ac:dyDescent="0.2">
      <c r="A141" s="5" t="s">
        <v>155</v>
      </c>
      <c r="B141" s="6">
        <v>4.1666666666666664E-2</v>
      </c>
      <c r="C141" s="5" t="s">
        <v>235</v>
      </c>
      <c r="D141" s="7" t="s">
        <v>244</v>
      </c>
      <c r="E141" s="8"/>
    </row>
    <row r="142" spans="1:5" ht="30" x14ac:dyDescent="0.2">
      <c r="A142" s="5" t="s">
        <v>156</v>
      </c>
      <c r="B142" s="6">
        <v>4.1666666666666664E-2</v>
      </c>
      <c r="C142" s="5" t="s">
        <v>236</v>
      </c>
      <c r="D142" s="7" t="s">
        <v>245</v>
      </c>
      <c r="E142" s="8"/>
    </row>
    <row r="143" spans="1:5" ht="90" x14ac:dyDescent="0.2">
      <c r="A143" s="5" t="s">
        <v>157</v>
      </c>
      <c r="B143" s="6">
        <v>0.125</v>
      </c>
      <c r="C143" s="5" t="s">
        <v>237</v>
      </c>
      <c r="D143" s="7" t="s">
        <v>245</v>
      </c>
      <c r="E143" s="8"/>
    </row>
    <row r="144" spans="1:5" ht="90" x14ac:dyDescent="0.2">
      <c r="A144" s="5" t="s">
        <v>158</v>
      </c>
      <c r="B144" s="6">
        <v>0.20833333333333334</v>
      </c>
      <c r="C144" s="5" t="s">
        <v>237</v>
      </c>
      <c r="D144" s="7" t="s">
        <v>245</v>
      </c>
      <c r="E144" s="8"/>
    </row>
    <row r="145" spans="1:5" ht="105" x14ac:dyDescent="0.2">
      <c r="A145" s="5" t="s">
        <v>159</v>
      </c>
      <c r="B145" s="6">
        <v>0.25</v>
      </c>
      <c r="C145" s="5" t="s">
        <v>237</v>
      </c>
      <c r="D145" s="7" t="s">
        <v>245</v>
      </c>
      <c r="E145" s="8"/>
    </row>
    <row r="146" spans="1:5" ht="90" x14ac:dyDescent="0.2">
      <c r="A146" s="5" t="s">
        <v>160</v>
      </c>
      <c r="B146" s="6">
        <v>0.10416666666666667</v>
      </c>
      <c r="C146" s="5" t="s">
        <v>237</v>
      </c>
      <c r="D146" s="7" t="s">
        <v>244</v>
      </c>
      <c r="E146" s="8"/>
    </row>
    <row r="147" spans="1:5" ht="90" x14ac:dyDescent="0.2">
      <c r="A147" s="5" t="s">
        <v>161</v>
      </c>
      <c r="B147" s="6">
        <v>0.10416666666666667</v>
      </c>
      <c r="C147" s="5" t="s">
        <v>237</v>
      </c>
      <c r="D147" s="7" t="s">
        <v>244</v>
      </c>
      <c r="E147" s="8"/>
    </row>
    <row r="148" spans="1:5" ht="45" x14ac:dyDescent="0.2">
      <c r="A148" s="5" t="s">
        <v>162</v>
      </c>
      <c r="B148" s="6">
        <v>0.14583333333333334</v>
      </c>
      <c r="C148" s="5" t="s">
        <v>237</v>
      </c>
      <c r="D148" s="7" t="s">
        <v>245</v>
      </c>
      <c r="E148" s="8"/>
    </row>
    <row r="149" spans="1:5" ht="15" x14ac:dyDescent="0.2">
      <c r="A149" s="5" t="s">
        <v>163</v>
      </c>
      <c r="B149" s="6">
        <v>0.125</v>
      </c>
      <c r="C149" s="5" t="s">
        <v>237</v>
      </c>
      <c r="D149" s="7" t="s">
        <v>245</v>
      </c>
      <c r="E149" s="8"/>
    </row>
    <row r="150" spans="1:5" ht="15" x14ac:dyDescent="0.2">
      <c r="A150" s="5" t="s">
        <v>164</v>
      </c>
      <c r="B150" s="6"/>
      <c r="C150" s="5" t="s">
        <v>237</v>
      </c>
      <c r="D150" s="7" t="s">
        <v>245</v>
      </c>
      <c r="E150" s="8"/>
    </row>
    <row r="151" spans="1:5" ht="30" x14ac:dyDescent="0.2">
      <c r="A151" s="5" t="s">
        <v>165</v>
      </c>
      <c r="B151" s="6">
        <v>0.66666666666666663</v>
      </c>
      <c r="C151" s="5" t="s">
        <v>237</v>
      </c>
      <c r="D151" s="7" t="s">
        <v>245</v>
      </c>
      <c r="E151" s="8"/>
    </row>
    <row r="152" spans="1:5" ht="60" x14ac:dyDescent="0.2">
      <c r="A152" s="5" t="s">
        <v>166</v>
      </c>
      <c r="B152" s="6">
        <v>4.1666666666666664E-2</v>
      </c>
      <c r="C152" s="5" t="s">
        <v>237</v>
      </c>
      <c r="D152" s="7" t="s">
        <v>245</v>
      </c>
      <c r="E152" s="8"/>
    </row>
    <row r="153" spans="1:5" ht="45" x14ac:dyDescent="0.2">
      <c r="A153" s="5" t="s">
        <v>167</v>
      </c>
      <c r="B153" s="6">
        <v>8.3333333333333329E-2</v>
      </c>
      <c r="C153" s="5" t="s">
        <v>237</v>
      </c>
      <c r="D153" s="7" t="s">
        <v>245</v>
      </c>
      <c r="E153" s="8"/>
    </row>
    <row r="154" spans="1:5" ht="45" x14ac:dyDescent="0.2">
      <c r="A154" s="5" t="s">
        <v>168</v>
      </c>
      <c r="B154" s="6">
        <v>8.3333333333333329E-2</v>
      </c>
      <c r="C154" s="5" t="s">
        <v>237</v>
      </c>
      <c r="D154" s="7" t="s">
        <v>245</v>
      </c>
      <c r="E154" s="8"/>
    </row>
    <row r="155" spans="1:5" ht="30" x14ac:dyDescent="0.2">
      <c r="A155" s="5" t="s">
        <v>169</v>
      </c>
      <c r="B155" s="6">
        <v>8.3333333333333329E-2</v>
      </c>
      <c r="C155" s="5" t="s">
        <v>237</v>
      </c>
      <c r="D155" s="7" t="s">
        <v>245</v>
      </c>
      <c r="E155" s="8"/>
    </row>
    <row r="156" spans="1:5" ht="45" x14ac:dyDescent="0.2">
      <c r="A156" s="5" t="s">
        <v>170</v>
      </c>
      <c r="B156" s="6"/>
      <c r="C156" s="5" t="s">
        <v>237</v>
      </c>
      <c r="D156" s="7" t="s">
        <v>245</v>
      </c>
      <c r="E156" s="8"/>
    </row>
    <row r="157" spans="1:5" ht="45" x14ac:dyDescent="0.2">
      <c r="A157" s="5" t="s">
        <v>171</v>
      </c>
      <c r="B157" s="6"/>
      <c r="C157" s="5" t="s">
        <v>237</v>
      </c>
      <c r="D157" s="7" t="s">
        <v>245</v>
      </c>
      <c r="E157" s="8"/>
    </row>
    <row r="158" spans="1:5" ht="45" x14ac:dyDescent="0.2">
      <c r="A158" s="5" t="s">
        <v>172</v>
      </c>
      <c r="B158" s="6">
        <v>1.2499999999999999E-2</v>
      </c>
      <c r="C158" s="5" t="s">
        <v>238</v>
      </c>
      <c r="D158" s="7" t="s">
        <v>244</v>
      </c>
      <c r="E158" s="8"/>
    </row>
    <row r="159" spans="1:5" ht="30" x14ac:dyDescent="0.2">
      <c r="A159" s="5" t="s">
        <v>173</v>
      </c>
      <c r="B159" s="6">
        <v>3.3333333333333333E-2</v>
      </c>
      <c r="C159" s="5" t="s">
        <v>238</v>
      </c>
      <c r="D159" s="7" t="s">
        <v>244</v>
      </c>
      <c r="E159" s="8"/>
    </row>
    <row r="160" spans="1:5" ht="30" x14ac:dyDescent="0.2">
      <c r="A160" s="5" t="s">
        <v>174</v>
      </c>
      <c r="B160" s="6">
        <v>2.0833333333333332E-2</v>
      </c>
      <c r="C160" s="5" t="s">
        <v>238</v>
      </c>
      <c r="D160" s="7" t="s">
        <v>244</v>
      </c>
      <c r="E160" s="8"/>
    </row>
    <row r="161" spans="1:5" ht="60" x14ac:dyDescent="0.2">
      <c r="A161" s="5" t="s">
        <v>175</v>
      </c>
      <c r="B161" s="6">
        <v>8.3333333333333329E-2</v>
      </c>
      <c r="C161" s="7" t="s">
        <v>238</v>
      </c>
      <c r="D161" s="7"/>
      <c r="E161" s="8"/>
    </row>
    <row r="162" spans="1:5" ht="60" x14ac:dyDescent="0.2">
      <c r="A162" s="5" t="s">
        <v>176</v>
      </c>
      <c r="B162" s="6">
        <v>8.3333333333333329E-2</v>
      </c>
      <c r="C162" s="5" t="s">
        <v>238</v>
      </c>
      <c r="D162" s="7" t="s">
        <v>244</v>
      </c>
      <c r="E162" s="8"/>
    </row>
    <row r="163" spans="1:5" ht="60" x14ac:dyDescent="0.2">
      <c r="A163" s="5" t="s">
        <v>177</v>
      </c>
      <c r="B163" s="6">
        <v>2.0833333333333332E-2</v>
      </c>
      <c r="C163" s="5" t="s">
        <v>238</v>
      </c>
      <c r="D163" s="7" t="s">
        <v>244</v>
      </c>
      <c r="E163" s="8"/>
    </row>
    <row r="164" spans="1:5" ht="30" x14ac:dyDescent="0.2">
      <c r="A164" s="5" t="s">
        <v>178</v>
      </c>
      <c r="B164" s="6">
        <v>8.3333333333333329E-2</v>
      </c>
      <c r="C164" s="5" t="s">
        <v>238</v>
      </c>
      <c r="D164" s="7" t="s">
        <v>244</v>
      </c>
      <c r="E164" s="8"/>
    </row>
    <row r="165" spans="1:5" ht="90" x14ac:dyDescent="0.2">
      <c r="A165" s="5" t="s">
        <v>179</v>
      </c>
      <c r="B165" s="6">
        <v>6.25E-2</v>
      </c>
      <c r="C165" s="5" t="s">
        <v>239</v>
      </c>
      <c r="D165" s="7" t="s">
        <v>246</v>
      </c>
      <c r="E165" s="8"/>
    </row>
    <row r="166" spans="1:5" ht="60" x14ac:dyDescent="0.2">
      <c r="A166" s="5" t="s">
        <v>180</v>
      </c>
      <c r="B166" s="6">
        <v>5.2083333333333336E-2</v>
      </c>
      <c r="C166" s="5" t="s">
        <v>239</v>
      </c>
      <c r="D166" s="7" t="s">
        <v>246</v>
      </c>
      <c r="E166" s="8"/>
    </row>
    <row r="167" spans="1:5" ht="45" x14ac:dyDescent="0.2">
      <c r="A167" s="5" t="s">
        <v>181</v>
      </c>
      <c r="B167" s="6">
        <v>5.2083333333333336E-2</v>
      </c>
      <c r="C167" s="5" t="s">
        <v>239</v>
      </c>
      <c r="D167" s="7" t="s">
        <v>246</v>
      </c>
      <c r="E167" s="8"/>
    </row>
    <row r="168" spans="1:5" ht="30" x14ac:dyDescent="0.2">
      <c r="A168" s="5" t="s">
        <v>182</v>
      </c>
      <c r="B168" s="6">
        <v>1.6666666666666666E-2</v>
      </c>
      <c r="C168" s="5" t="s">
        <v>239</v>
      </c>
      <c r="D168" s="7" t="s">
        <v>246</v>
      </c>
      <c r="E168" s="8"/>
    </row>
    <row r="169" spans="1:5" ht="75" x14ac:dyDescent="0.2">
      <c r="A169" s="5" t="s">
        <v>183</v>
      </c>
      <c r="B169" s="6">
        <v>1.6666666666666666E-2</v>
      </c>
      <c r="C169" s="5" t="s">
        <v>239</v>
      </c>
      <c r="D169" s="7" t="s">
        <v>244</v>
      </c>
      <c r="E169" s="8"/>
    </row>
    <row r="170" spans="1:5" ht="90" x14ac:dyDescent="0.2">
      <c r="A170" s="5" t="s">
        <v>184</v>
      </c>
      <c r="B170" s="6">
        <v>5.2083333333333336E-2</v>
      </c>
      <c r="C170" s="5" t="s">
        <v>239</v>
      </c>
      <c r="D170" s="7" t="s">
        <v>246</v>
      </c>
      <c r="E170" s="8"/>
    </row>
    <row r="171" spans="1:5" ht="75" x14ac:dyDescent="0.2">
      <c r="A171" s="5" t="s">
        <v>185</v>
      </c>
      <c r="B171" s="6">
        <v>6.25E-2</v>
      </c>
      <c r="C171" s="5" t="s">
        <v>239</v>
      </c>
      <c r="D171" s="7" t="s">
        <v>246</v>
      </c>
      <c r="E171" s="8"/>
    </row>
    <row r="172" spans="1:5" ht="75" x14ac:dyDescent="0.2">
      <c r="A172" s="5" t="s">
        <v>186</v>
      </c>
      <c r="B172" s="6">
        <v>5.2083333333333336E-2</v>
      </c>
      <c r="C172" s="5" t="s">
        <v>239</v>
      </c>
      <c r="D172" s="7" t="s">
        <v>246</v>
      </c>
      <c r="E172" s="8"/>
    </row>
    <row r="173" spans="1:5" ht="45" x14ac:dyDescent="0.2">
      <c r="A173" s="5" t="s">
        <v>187</v>
      </c>
      <c r="B173" s="6">
        <v>6.25E-2</v>
      </c>
      <c r="C173" s="5" t="s">
        <v>239</v>
      </c>
      <c r="D173" s="7" t="s">
        <v>246</v>
      </c>
      <c r="E173" s="8"/>
    </row>
    <row r="174" spans="1:5" ht="60" x14ac:dyDescent="0.2">
      <c r="A174" s="5" t="s">
        <v>188</v>
      </c>
      <c r="B174" s="6">
        <v>3.125E-2</v>
      </c>
      <c r="C174" s="5" t="s">
        <v>239</v>
      </c>
      <c r="D174" s="7" t="s">
        <v>246</v>
      </c>
      <c r="E174" s="8"/>
    </row>
    <row r="175" spans="1:5" ht="30" x14ac:dyDescent="0.2">
      <c r="A175" s="5" t="s">
        <v>189</v>
      </c>
      <c r="B175" s="6">
        <v>3.4722222222222224E-2</v>
      </c>
      <c r="C175" s="5" t="s">
        <v>240</v>
      </c>
      <c r="D175" s="7" t="s">
        <v>246</v>
      </c>
      <c r="E175" s="8"/>
    </row>
    <row r="176" spans="1:5" ht="30" x14ac:dyDescent="0.2">
      <c r="A176" s="5" t="s">
        <v>190</v>
      </c>
      <c r="B176" s="6">
        <v>6.25E-2</v>
      </c>
      <c r="C176" s="5" t="s">
        <v>240</v>
      </c>
      <c r="D176" s="7" t="s">
        <v>246</v>
      </c>
      <c r="E176" s="8"/>
    </row>
    <row r="177" spans="1:5" ht="30" x14ac:dyDescent="0.2">
      <c r="A177" s="5" t="s">
        <v>191</v>
      </c>
      <c r="B177" s="6">
        <v>4.1666666666666664E-2</v>
      </c>
      <c r="C177" s="5" t="s">
        <v>240</v>
      </c>
      <c r="D177" s="7" t="s">
        <v>246</v>
      </c>
      <c r="E177" s="8"/>
    </row>
    <row r="178" spans="1:5" ht="30" x14ac:dyDescent="0.2">
      <c r="A178" s="5" t="s">
        <v>192</v>
      </c>
      <c r="B178" s="6">
        <v>3.4722222222222224E-2</v>
      </c>
      <c r="C178" s="5" t="s">
        <v>240</v>
      </c>
      <c r="D178" s="7" t="s">
        <v>246</v>
      </c>
      <c r="E178" s="8"/>
    </row>
    <row r="179" spans="1:5" ht="30" x14ac:dyDescent="0.2">
      <c r="A179" s="5" t="s">
        <v>193</v>
      </c>
      <c r="B179" s="6">
        <v>4.1666666666666664E-2</v>
      </c>
      <c r="C179" s="5" t="s">
        <v>240</v>
      </c>
      <c r="D179" s="7" t="s">
        <v>246</v>
      </c>
      <c r="E179" s="8"/>
    </row>
    <row r="180" spans="1:5" ht="30" x14ac:dyDescent="0.2">
      <c r="A180" s="5" t="s">
        <v>194</v>
      </c>
      <c r="B180" s="6">
        <v>4.1666666666666664E-2</v>
      </c>
      <c r="C180" s="5" t="s">
        <v>240</v>
      </c>
      <c r="D180" s="7" t="s">
        <v>246</v>
      </c>
      <c r="E180" s="8"/>
    </row>
    <row r="181" spans="1:5" ht="15" x14ac:dyDescent="0.2">
      <c r="A181" s="5" t="s">
        <v>195</v>
      </c>
      <c r="B181" s="6">
        <v>6.25E-2</v>
      </c>
      <c r="C181" s="5" t="s">
        <v>240</v>
      </c>
      <c r="D181" s="7" t="s">
        <v>246</v>
      </c>
      <c r="E181" s="8"/>
    </row>
    <row r="182" spans="1:5" ht="30" x14ac:dyDescent="0.2">
      <c r="A182" s="5" t="s">
        <v>196</v>
      </c>
      <c r="B182" s="6">
        <v>6.9444444444444441E-3</v>
      </c>
      <c r="C182" s="5" t="s">
        <v>240</v>
      </c>
      <c r="D182" s="7" t="s">
        <v>246</v>
      </c>
      <c r="E182" s="8"/>
    </row>
    <row r="183" spans="1:5" ht="45" x14ac:dyDescent="0.2">
      <c r="A183" s="5" t="s">
        <v>197</v>
      </c>
      <c r="B183" s="6">
        <v>6.25E-2</v>
      </c>
      <c r="C183" s="5" t="s">
        <v>240</v>
      </c>
      <c r="D183" s="7" t="s">
        <v>246</v>
      </c>
      <c r="E183" s="8"/>
    </row>
    <row r="184" spans="1:5" ht="60" x14ac:dyDescent="0.2">
      <c r="A184" s="5" t="s">
        <v>198</v>
      </c>
      <c r="B184" s="6">
        <v>6.25E-2</v>
      </c>
      <c r="C184" s="5" t="s">
        <v>240</v>
      </c>
      <c r="D184" s="7" t="s">
        <v>246</v>
      </c>
      <c r="E184" s="8"/>
    </row>
    <row r="185" spans="1:5" ht="45" x14ac:dyDescent="0.2">
      <c r="A185" s="5" t="s">
        <v>199</v>
      </c>
      <c r="B185" s="6">
        <v>6.25E-2</v>
      </c>
      <c r="C185" s="5" t="s">
        <v>240</v>
      </c>
      <c r="D185" s="7" t="s">
        <v>246</v>
      </c>
      <c r="E185" s="8"/>
    </row>
    <row r="186" spans="1:5" ht="45" x14ac:dyDescent="0.2">
      <c r="A186" s="5" t="s">
        <v>199</v>
      </c>
      <c r="B186" s="6">
        <v>6.25E-2</v>
      </c>
      <c r="C186" s="5" t="s">
        <v>240</v>
      </c>
      <c r="D186" s="7" t="s">
        <v>246</v>
      </c>
      <c r="E186" s="8"/>
    </row>
    <row r="187" spans="1:5" ht="75" x14ac:dyDescent="0.2">
      <c r="A187" s="5" t="s">
        <v>200</v>
      </c>
      <c r="B187" s="6">
        <v>6.25E-2</v>
      </c>
      <c r="C187" s="5" t="s">
        <v>240</v>
      </c>
      <c r="D187" s="7" t="s">
        <v>246</v>
      </c>
      <c r="E187" s="8"/>
    </row>
    <row r="188" spans="1:5" ht="15" x14ac:dyDescent="0.2">
      <c r="A188" s="5" t="s">
        <v>201</v>
      </c>
      <c r="B188" s="6"/>
      <c r="C188" s="5" t="s">
        <v>240</v>
      </c>
      <c r="D188" s="7" t="s">
        <v>246</v>
      </c>
      <c r="E188" s="8"/>
    </row>
    <row r="189" spans="1:5" ht="90" x14ac:dyDescent="0.2">
      <c r="A189" s="5" t="s">
        <v>202</v>
      </c>
      <c r="B189" s="6">
        <v>6.25E-2</v>
      </c>
      <c r="C189" s="5" t="s">
        <v>240</v>
      </c>
      <c r="D189" s="7" t="s">
        <v>246</v>
      </c>
      <c r="E189" s="8"/>
    </row>
    <row r="190" spans="1:5" ht="45" x14ac:dyDescent="0.2">
      <c r="A190" s="5" t="s">
        <v>203</v>
      </c>
      <c r="B190" s="6">
        <v>6.25E-2</v>
      </c>
      <c r="C190" s="5" t="s">
        <v>240</v>
      </c>
      <c r="D190" s="7" t="s">
        <v>246</v>
      </c>
      <c r="E190" s="8"/>
    </row>
    <row r="191" spans="1:5" ht="30" x14ac:dyDescent="0.2">
      <c r="A191" s="5" t="s">
        <v>204</v>
      </c>
      <c r="B191" s="6">
        <v>6.25E-2</v>
      </c>
      <c r="C191" s="5" t="s">
        <v>240</v>
      </c>
      <c r="D191" s="7" t="s">
        <v>246</v>
      </c>
      <c r="E191" s="8"/>
    </row>
    <row r="192" spans="1:5" ht="30" x14ac:dyDescent="0.2">
      <c r="A192" s="5" t="s">
        <v>205</v>
      </c>
      <c r="B192" s="6">
        <v>6.25E-2</v>
      </c>
      <c r="C192" s="5" t="s">
        <v>240</v>
      </c>
      <c r="D192" s="7" t="s">
        <v>246</v>
      </c>
      <c r="E192" s="8"/>
    </row>
    <row r="193" spans="1:5" ht="60" x14ac:dyDescent="0.2">
      <c r="A193" s="5" t="s">
        <v>206</v>
      </c>
      <c r="B193" s="6">
        <v>6.25E-2</v>
      </c>
      <c r="C193" s="5" t="s">
        <v>240</v>
      </c>
      <c r="D193" s="7" t="s">
        <v>246</v>
      </c>
      <c r="E193" s="8"/>
    </row>
    <row r="194" spans="1:5" ht="45" x14ac:dyDescent="0.2">
      <c r="A194" s="5" t="s">
        <v>207</v>
      </c>
      <c r="B194" s="6">
        <v>3.4722222222222224E-2</v>
      </c>
      <c r="C194" s="5" t="s">
        <v>240</v>
      </c>
      <c r="D194" s="7" t="s">
        <v>246</v>
      </c>
      <c r="E194" s="8"/>
    </row>
    <row r="195" spans="1:5" ht="45" x14ac:dyDescent="0.2">
      <c r="A195" s="5" t="s">
        <v>208</v>
      </c>
      <c r="B195" s="6">
        <v>4.1666666666666664E-2</v>
      </c>
      <c r="C195" s="5" t="s">
        <v>240</v>
      </c>
      <c r="D195" s="7" t="s">
        <v>246</v>
      </c>
      <c r="E195" s="8"/>
    </row>
    <row r="196" spans="1:5" ht="75" x14ac:dyDescent="0.2">
      <c r="A196" s="5" t="s">
        <v>209</v>
      </c>
      <c r="B196" s="6">
        <v>2.0833333333333332E-2</v>
      </c>
      <c r="C196" s="5" t="s">
        <v>241</v>
      </c>
      <c r="D196" s="7" t="s">
        <v>245</v>
      </c>
      <c r="E196" s="8"/>
    </row>
    <row r="197" spans="1:5" ht="30" x14ac:dyDescent="0.2">
      <c r="A197" s="5" t="s">
        <v>210</v>
      </c>
      <c r="B197" s="6">
        <v>2.0833333333333332E-2</v>
      </c>
      <c r="C197" s="5" t="s">
        <v>241</v>
      </c>
      <c r="D197" s="7" t="s">
        <v>245</v>
      </c>
      <c r="E197" s="8"/>
    </row>
    <row r="198" spans="1:5" ht="30" x14ac:dyDescent="0.2">
      <c r="A198" s="5" t="s">
        <v>211</v>
      </c>
      <c r="B198" s="6">
        <v>0.20833333333333334</v>
      </c>
      <c r="C198" s="5" t="s">
        <v>241</v>
      </c>
      <c r="D198" s="7" t="s">
        <v>245</v>
      </c>
      <c r="E198" s="8"/>
    </row>
    <row r="199" spans="1:5" ht="30" x14ac:dyDescent="0.2">
      <c r="A199" s="5" t="s">
        <v>212</v>
      </c>
      <c r="B199" s="6">
        <v>0.125</v>
      </c>
      <c r="C199" s="5" t="s">
        <v>241</v>
      </c>
      <c r="D199" s="7" t="s">
        <v>245</v>
      </c>
      <c r="E199" s="8"/>
    </row>
    <row r="200" spans="1:5" ht="30" x14ac:dyDescent="0.2">
      <c r="A200" s="5" t="s">
        <v>213</v>
      </c>
      <c r="B200" s="6">
        <v>4.1666666666666664E-2</v>
      </c>
      <c r="C200" s="5" t="s">
        <v>226</v>
      </c>
      <c r="D200" s="7" t="s">
        <v>245</v>
      </c>
      <c r="E200" s="8"/>
    </row>
    <row r="201" spans="1:5" ht="30" x14ac:dyDescent="0.2">
      <c r="A201" s="5" t="s">
        <v>214</v>
      </c>
      <c r="B201" s="6">
        <v>4.1666666666666664E-2</v>
      </c>
      <c r="C201" s="5" t="s">
        <v>226</v>
      </c>
      <c r="D201" s="7" t="s">
        <v>245</v>
      </c>
      <c r="E201" s="8"/>
    </row>
    <row r="202" spans="1:5" ht="15" x14ac:dyDescent="0.2">
      <c r="A202" s="5" t="s">
        <v>215</v>
      </c>
      <c r="B202" s="6">
        <v>4.1666666666666664E-2</v>
      </c>
      <c r="C202" s="5" t="s">
        <v>226</v>
      </c>
      <c r="D202" s="7" t="s">
        <v>245</v>
      </c>
      <c r="E202" s="8"/>
    </row>
    <row r="203" spans="1:5" ht="15" x14ac:dyDescent="0.2">
      <c r="A203" s="5" t="s">
        <v>216</v>
      </c>
      <c r="B203" s="6"/>
      <c r="C203" s="5" t="s">
        <v>226</v>
      </c>
      <c r="D203" s="7" t="s">
        <v>244</v>
      </c>
      <c r="E203" s="8"/>
    </row>
    <row r="204" spans="1:5" ht="15" x14ac:dyDescent="0.2">
      <c r="A204" s="5" t="s">
        <v>217</v>
      </c>
      <c r="B204" s="6"/>
      <c r="C204" s="5" t="s">
        <v>226</v>
      </c>
      <c r="D204" s="7" t="s">
        <v>245</v>
      </c>
      <c r="E204" s="8"/>
    </row>
    <row r="205" spans="1:5" ht="15" x14ac:dyDescent="0.2">
      <c r="A205" s="5" t="s">
        <v>218</v>
      </c>
      <c r="B205" s="6">
        <v>4.1666666666666664E-2</v>
      </c>
      <c r="C205" s="5" t="s">
        <v>235</v>
      </c>
      <c r="D205" s="7" t="s">
        <v>245</v>
      </c>
      <c r="E205" s="8"/>
    </row>
    <row r="206" spans="1:5" ht="15" x14ac:dyDescent="0.2">
      <c r="A206" s="5" t="s">
        <v>219</v>
      </c>
      <c r="B206" s="6">
        <v>2.0833333333333332E-2</v>
      </c>
      <c r="C206" s="5" t="s">
        <v>235</v>
      </c>
      <c r="D206" s="7"/>
      <c r="E206" s="8"/>
    </row>
    <row r="207" spans="1:5" ht="45" x14ac:dyDescent="0.2">
      <c r="A207" s="5" t="s">
        <v>207</v>
      </c>
      <c r="B207" s="6">
        <v>3.4722222222222224E-2</v>
      </c>
      <c r="C207" s="5" t="s">
        <v>240</v>
      </c>
      <c r="D207" s="7" t="s">
        <v>246</v>
      </c>
      <c r="E207" s="8"/>
    </row>
    <row r="208" spans="1:5" ht="45" x14ac:dyDescent="0.2">
      <c r="A208" s="5" t="s">
        <v>208</v>
      </c>
      <c r="B208" s="6">
        <v>4.1666666666666664E-2</v>
      </c>
      <c r="C208" s="5" t="s">
        <v>240</v>
      </c>
      <c r="D208" s="7" t="s">
        <v>246</v>
      </c>
      <c r="E208" s="8"/>
    </row>
    <row r="209" spans="1:5" ht="30" x14ac:dyDescent="0.2">
      <c r="A209" s="5" t="s">
        <v>220</v>
      </c>
      <c r="B209" s="6">
        <v>4.1666666666666664E-2</v>
      </c>
      <c r="C209" s="5" t="s">
        <v>235</v>
      </c>
      <c r="D209" s="7" t="s">
        <v>245</v>
      </c>
      <c r="E209" s="8"/>
    </row>
    <row r="210" spans="1:5" ht="30" x14ac:dyDescent="0.2">
      <c r="A210" s="5" t="s">
        <v>221</v>
      </c>
      <c r="B210" s="6">
        <v>0.16666666666666666</v>
      </c>
      <c r="C210" s="5" t="s">
        <v>237</v>
      </c>
      <c r="D210" s="7" t="s">
        <v>245</v>
      </c>
      <c r="E210" s="8"/>
    </row>
    <row r="211" spans="1:5" ht="30" x14ac:dyDescent="0.2">
      <c r="A211" s="5" t="s">
        <v>222</v>
      </c>
      <c r="B211" s="6">
        <v>4.1666666666666664E-2</v>
      </c>
      <c r="C211" s="5" t="s">
        <v>235</v>
      </c>
      <c r="D211" s="7" t="s">
        <v>245</v>
      </c>
      <c r="E211" s="8"/>
    </row>
    <row r="212" spans="1:5" ht="30" x14ac:dyDescent="0.2">
      <c r="A212" s="5" t="s">
        <v>223</v>
      </c>
      <c r="B212" s="6">
        <v>2.0833333333333332E-2</v>
      </c>
      <c r="C212" s="5" t="s">
        <v>226</v>
      </c>
      <c r="D212" s="7" t="s">
        <v>245</v>
      </c>
      <c r="E212" s="8"/>
    </row>
    <row r="213" spans="1:5" ht="30" x14ac:dyDescent="0.2">
      <c r="A213" s="5" t="s">
        <v>224</v>
      </c>
      <c r="B213" s="6">
        <v>0.10416666666666667</v>
      </c>
      <c r="C213" s="5" t="s">
        <v>234</v>
      </c>
      <c r="D213" s="7" t="s">
        <v>242</v>
      </c>
      <c r="E213" s="8"/>
    </row>
    <row r="214" spans="1:5" ht="90" x14ac:dyDescent="0.2">
      <c r="A214" s="5" t="s">
        <v>225</v>
      </c>
      <c r="B214" s="6">
        <v>0.16666666666666666</v>
      </c>
      <c r="C214" s="5" t="s">
        <v>235</v>
      </c>
      <c r="D214" s="7" t="s">
        <v>245</v>
      </c>
      <c r="E214" s="8"/>
    </row>
    <row r="215" spans="1:5" ht="15" x14ac:dyDescent="0.2">
      <c r="A215" s="5" t="s">
        <v>226</v>
      </c>
      <c r="B215" s="6"/>
      <c r="C215" s="5" t="s">
        <v>226</v>
      </c>
      <c r="D215" s="7" t="s">
        <v>245</v>
      </c>
      <c r="E215" s="8"/>
    </row>
    <row r="216" spans="1:5" ht="30" x14ac:dyDescent="0.2">
      <c r="A216" s="5" t="s">
        <v>211</v>
      </c>
      <c r="B216" s="6">
        <v>0.20833333333333334</v>
      </c>
      <c r="C216" s="5" t="s">
        <v>241</v>
      </c>
      <c r="D216" s="7" t="s">
        <v>245</v>
      </c>
      <c r="E216" s="8"/>
    </row>
    <row r="217" spans="1:5" ht="30" x14ac:dyDescent="0.2">
      <c r="A217" s="5" t="s">
        <v>212</v>
      </c>
      <c r="B217" s="6">
        <v>0.125</v>
      </c>
      <c r="C217" s="5" t="s">
        <v>241</v>
      </c>
      <c r="D217" s="7" t="s">
        <v>245</v>
      </c>
      <c r="E217" s="8"/>
    </row>
    <row r="218" spans="1:5" ht="60" x14ac:dyDescent="0.2">
      <c r="A218" s="5" t="s">
        <v>227</v>
      </c>
      <c r="B218" s="6">
        <v>0.5</v>
      </c>
      <c r="C218" s="5" t="s">
        <v>234</v>
      </c>
      <c r="D218" s="7" t="s">
        <v>242</v>
      </c>
      <c r="E218" s="8"/>
    </row>
    <row r="219" spans="1:5" ht="15" x14ac:dyDescent="0.2">
      <c r="A219" s="5" t="s">
        <v>228</v>
      </c>
      <c r="B219" s="6">
        <v>4.1666666666666664E-2</v>
      </c>
      <c r="C219" s="5" t="s">
        <v>235</v>
      </c>
      <c r="D219" s="7"/>
      <c r="E219" s="8"/>
    </row>
    <row r="220" spans="1:5" ht="30" x14ac:dyDescent="0.2">
      <c r="A220" s="5" t="s">
        <v>229</v>
      </c>
      <c r="B220" s="6">
        <v>4.1666666666666664E-2</v>
      </c>
      <c r="C220" s="5" t="s">
        <v>234</v>
      </c>
      <c r="D220" s="7"/>
      <c r="E220" s="8"/>
    </row>
    <row r="221" spans="1:5" ht="15" x14ac:dyDescent="0.2">
      <c r="A221" s="5" t="s">
        <v>230</v>
      </c>
      <c r="B221" s="6">
        <v>4.1666666666666664E-2</v>
      </c>
      <c r="C221" s="5" t="s">
        <v>234</v>
      </c>
      <c r="D221" s="7"/>
      <c r="E221" s="8"/>
    </row>
    <row r="222" spans="1:5" ht="15" x14ac:dyDescent="0.2">
      <c r="A222" s="5" t="s">
        <v>218</v>
      </c>
      <c r="B222" s="6">
        <v>4.1666666666666664E-2</v>
      </c>
      <c r="C222" s="5" t="s">
        <v>235</v>
      </c>
      <c r="D222" s="7"/>
      <c r="E222" s="8"/>
    </row>
    <row r="223" spans="1:5" ht="30" x14ac:dyDescent="0.2">
      <c r="A223" s="5" t="s">
        <v>231</v>
      </c>
      <c r="B223" s="6"/>
      <c r="C223" s="5" t="s">
        <v>226</v>
      </c>
      <c r="D223" s="7"/>
      <c r="E223" s="8"/>
    </row>
  </sheetData>
  <autoFilter ref="A2:E2"/>
  <mergeCells count="1">
    <mergeCell ref="A1:E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Resumo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2017-09-01T17:45:03Z</dcterms:modified>
</cp:coreProperties>
</file>