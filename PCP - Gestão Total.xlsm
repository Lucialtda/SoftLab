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D13" i="4"/>
  <c r="B2" i="4" l="1"/>
  <c r="B3" i="4" s="1"/>
  <c r="B18" i="4"/>
  <c r="B19" i="4"/>
  <c r="B11" i="4"/>
  <c r="B7" i="4"/>
  <c r="B16" i="4"/>
  <c r="B17" i="4"/>
  <c r="B8" i="4"/>
  <c r="B5" i="4"/>
  <c r="B12" i="4"/>
  <c r="B13" i="4"/>
  <c r="B9" i="4"/>
  <c r="B14" i="4"/>
  <c r="B15" i="4"/>
  <c r="B6" i="4"/>
  <c r="B10" i="4"/>
  <c r="C3" i="4" l="1"/>
  <c r="B4" i="4"/>
  <c r="C12" i="4"/>
  <c r="C13" i="4"/>
  <c r="C7" i="4"/>
  <c r="C18" i="4"/>
  <c r="C19" i="4"/>
  <c r="C5" i="4"/>
  <c r="C16" i="4"/>
  <c r="C17" i="4"/>
  <c r="C8" i="4"/>
  <c r="C6" i="4"/>
  <c r="C14" i="4"/>
  <c r="C15" i="4"/>
  <c r="C9" i="4"/>
  <c r="C10" i="4"/>
  <c r="C11" i="4"/>
  <c r="D3" i="4" l="1"/>
  <c r="C4" i="4"/>
  <c r="K40" i="2"/>
  <c r="D15" i="4"/>
  <c r="D8" i="4"/>
  <c r="D11" i="4"/>
  <c r="D12" i="4"/>
  <c r="D6" i="4"/>
  <c r="D19" i="4"/>
  <c r="D18" i="4"/>
  <c r="D9" i="4"/>
  <c r="D10" i="4"/>
  <c r="D17" i="4"/>
  <c r="D16" i="4"/>
  <c r="D5" i="4"/>
  <c r="E3" i="4" l="1"/>
  <c r="D4" i="4"/>
  <c r="E13" i="4"/>
  <c r="E12" i="4"/>
  <c r="E8" i="4"/>
  <c r="E19" i="4"/>
  <c r="E11" i="4"/>
  <c r="E9" i="4"/>
  <c r="E6" i="4"/>
  <c r="E17" i="4"/>
  <c r="E18" i="4"/>
  <c r="E7" i="4"/>
  <c r="E10" i="4"/>
  <c r="E15" i="4"/>
  <c r="E16" i="4"/>
  <c r="E5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B6" i="2" s="1"/>
  <c r="K7" i="2"/>
  <c r="K8" i="2"/>
  <c r="B8" i="2" s="1"/>
  <c r="K9" i="2"/>
  <c r="B9" i="2" s="1"/>
  <c r="K10" i="2"/>
  <c r="B10" i="2" s="1"/>
  <c r="K11" i="2"/>
  <c r="B11" i="2" s="1"/>
  <c r="K12" i="2"/>
  <c r="B12" i="2" s="1"/>
  <c r="K13" i="2"/>
  <c r="B13" i="2" s="1"/>
  <c r="K14" i="2"/>
  <c r="B14" i="2" s="1"/>
  <c r="K15" i="2"/>
  <c r="B15" i="2" s="1"/>
  <c r="K16" i="2"/>
  <c r="B16" i="2" s="1"/>
  <c r="K17" i="2"/>
  <c r="B17" i="2" s="1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D14" i="4"/>
  <c r="F16" i="4"/>
  <c r="F14" i="4"/>
  <c r="F13" i="4"/>
  <c r="F19" i="4"/>
  <c r="F9" i="4"/>
  <c r="F18" i="4"/>
  <c r="F17" i="4"/>
  <c r="F5" i="4"/>
  <c r="F15" i="4"/>
  <c r="F10" i="4"/>
  <c r="B4" i="2" l="1"/>
  <c r="B5" i="2"/>
  <c r="B3" i="2"/>
  <c r="B7" i="2"/>
  <c r="G3" i="4"/>
  <c r="F4" i="4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G18" i="4"/>
  <c r="G19" i="4"/>
  <c r="G5" i="4"/>
  <c r="G16" i="4"/>
  <c r="G17" i="4"/>
  <c r="G6" i="4"/>
  <c r="G8" i="4"/>
  <c r="G9" i="4"/>
  <c r="G14" i="4"/>
  <c r="G15" i="4"/>
  <c r="G10" i="4"/>
  <c r="G12" i="4"/>
  <c r="G13" i="4"/>
  <c r="G7" i="4"/>
  <c r="G11" i="4"/>
  <c r="D7" i="4"/>
  <c r="F11" i="4"/>
  <c r="F8" i="4"/>
  <c r="F7" i="4"/>
  <c r="F12" i="4"/>
  <c r="F6" i="4"/>
  <c r="E14" i="4"/>
  <c r="G4" i="4" l="1"/>
</calcChain>
</file>

<file path=xl/sharedStrings.xml><?xml version="1.0" encoding="utf-8"?>
<sst xmlns="http://schemas.openxmlformats.org/spreadsheetml/2006/main" count="696" uniqueCount="261">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</sst>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9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164" fontId="0" fillId="0" borderId="0" xfId="0" applyNumberFormat="1">
      <alignment horizontal="left" vertical="center" indent="1"/>
    </xf>
    <xf numFmtId="0" fontId="0" fillId="0" borderId="0" xfId="0" applyNumberFormat="1" applyFont="1" applyFill="1" applyBorder="1" applyAlignment="1">
      <alignment horizontal="left" vertical="center" wrapText="1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Normal="100" workbookViewId="0">
      <pane ySplit="2" topLeftCell="A3" activePane="bottomLeft" state="frozen"/>
      <selection pane="bottomLeft" activeCell="E8" sqref="E8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6" t="s">
        <v>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13">
        <f ca="1">NOW()</f>
        <v>42984.672077777781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B3" t="str">
        <f t="shared" ref="B3:B66" si="0">IF(A3="","",IF(K3&gt;L3,"CONTATO COM O CLIENTE",IF(E3="","NÃO CHEGOU",IF(M3="",IF(K3&gt;$N$1,"AGUARDANDO NO LABORATORIO","ATRASADO"),"FINALIZADO"))))</f>
        <v/>
      </c>
      <c r="E3" s="24"/>
      <c r="J3" s="11"/>
      <c r="K3" s="11" t="str">
        <f t="shared" ref="K3:K67" si="1">IF(A3="","",J3+G3)</f>
        <v/>
      </c>
      <c r="O3" s="12"/>
    </row>
    <row r="4" spans="1:15" x14ac:dyDescent="0.2">
      <c r="B4" t="str">
        <f t="shared" si="0"/>
        <v/>
      </c>
      <c r="E4" s="24"/>
      <c r="J4" s="11"/>
      <c r="K4" s="11" t="str">
        <f t="shared" si="1"/>
        <v/>
      </c>
    </row>
    <row r="5" spans="1:15" x14ac:dyDescent="0.2">
      <c r="B5" t="str">
        <f>IF(A5="","",IF(K5&gt;L5,"CONTATO COM O CLIENTE",IF(E5="","NÃO CHEGOU",IF(M5="",IF(K5&gt;$N$1,"AGUARDANDO NO LABORATORIO","ATRASADO"),"FINALIZADO"))))</f>
        <v/>
      </c>
      <c r="E5" s="24"/>
      <c r="J5" s="11"/>
      <c r="K5" s="11" t="str">
        <f t="shared" si="1"/>
        <v/>
      </c>
    </row>
    <row r="6" spans="1:15" x14ac:dyDescent="0.2">
      <c r="B6" t="str">
        <f t="shared" si="0"/>
        <v/>
      </c>
      <c r="J6" s="11"/>
      <c r="K6" s="11" t="str">
        <f t="shared" si="1"/>
        <v/>
      </c>
    </row>
    <row r="7" spans="1:15" x14ac:dyDescent="0.2">
      <c r="B7" t="str">
        <f t="shared" si="0"/>
        <v/>
      </c>
      <c r="J7" s="11"/>
      <c r="K7" s="11" t="str">
        <f t="shared" si="1"/>
        <v/>
      </c>
    </row>
    <row r="8" spans="1:15" x14ac:dyDescent="0.2">
      <c r="B8" t="str">
        <f t="shared" si="0"/>
        <v/>
      </c>
      <c r="J8" s="11"/>
      <c r="K8" s="11" t="str">
        <f t="shared" si="1"/>
        <v/>
      </c>
    </row>
    <row r="9" spans="1:15" x14ac:dyDescent="0.2">
      <c r="B9" t="str">
        <f t="shared" si="0"/>
        <v/>
      </c>
      <c r="J9" s="11"/>
      <c r="K9" s="11" t="str">
        <f t="shared" si="1"/>
        <v/>
      </c>
    </row>
    <row r="10" spans="1:15" x14ac:dyDescent="0.2">
      <c r="B10" t="str">
        <f t="shared" si="0"/>
        <v/>
      </c>
      <c r="J10" s="11"/>
      <c r="K10" s="11" t="str">
        <f t="shared" si="1"/>
        <v/>
      </c>
    </row>
    <row r="11" spans="1:15" x14ac:dyDescent="0.2">
      <c r="B11" t="str">
        <f t="shared" si="0"/>
        <v/>
      </c>
      <c r="J11" s="11"/>
      <c r="K11" s="11" t="str">
        <f t="shared" si="1"/>
        <v/>
      </c>
    </row>
    <row r="12" spans="1:15" x14ac:dyDescent="0.2">
      <c r="B12" t="str">
        <f t="shared" si="0"/>
        <v/>
      </c>
      <c r="J12" s="11"/>
      <c r="K12" s="11" t="str">
        <f t="shared" si="1"/>
        <v/>
      </c>
    </row>
    <row r="13" spans="1:15" x14ac:dyDescent="0.2">
      <c r="B13" t="str">
        <f t="shared" si="0"/>
        <v/>
      </c>
      <c r="J13" s="11"/>
      <c r="K13" s="11" t="str">
        <f t="shared" si="1"/>
        <v/>
      </c>
    </row>
    <row r="14" spans="1:15" x14ac:dyDescent="0.2">
      <c r="B14" t="str">
        <f t="shared" si="0"/>
        <v/>
      </c>
      <c r="J14" s="11"/>
      <c r="K14" s="11" t="str">
        <f t="shared" si="1"/>
        <v/>
      </c>
    </row>
    <row r="15" spans="1:15" x14ac:dyDescent="0.2">
      <c r="B15" t="str">
        <f t="shared" si="0"/>
        <v/>
      </c>
      <c r="J15" s="11"/>
      <c r="K15" s="11" t="str">
        <f t="shared" si="1"/>
        <v/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 t="shared" si="0"/>
        <v/>
      </c>
      <c r="J22" s="11"/>
      <c r="K22" s="11" t="str">
        <f t="shared" si="1"/>
        <v/>
      </c>
    </row>
    <row r="23" spans="2:11" x14ac:dyDescent="0.2">
      <c r="B23" t="str">
        <f t="shared" si="0"/>
        <v/>
      </c>
      <c r="J23" s="11"/>
      <c r="K23" s="11" t="str">
        <f t="shared" si="1"/>
        <v/>
      </c>
    </row>
    <row r="24" spans="2:11" x14ac:dyDescent="0.2">
      <c r="B24" t="str">
        <f t="shared" si="0"/>
        <v/>
      </c>
      <c r="J24" s="11"/>
      <c r="K24" s="11" t="str">
        <f t="shared" si="1"/>
        <v/>
      </c>
    </row>
    <row r="25" spans="2:11" x14ac:dyDescent="0.2">
      <c r="B25" t="str">
        <f t="shared" si="0"/>
        <v/>
      </c>
      <c r="J25" s="11"/>
      <c r="K25" s="11" t="str">
        <f t="shared" si="1"/>
        <v/>
      </c>
    </row>
    <row r="26" spans="2:11" x14ac:dyDescent="0.2">
      <c r="B26" t="str">
        <f t="shared" si="0"/>
        <v/>
      </c>
      <c r="J26" s="11"/>
      <c r="K26" s="11" t="str">
        <f t="shared" si="1"/>
        <v/>
      </c>
    </row>
    <row r="27" spans="2:11" x14ac:dyDescent="0.2">
      <c r="B27" t="str">
        <f t="shared" si="0"/>
        <v/>
      </c>
      <c r="J27" s="11"/>
      <c r="K27" s="11" t="str">
        <f t="shared" si="1"/>
        <v/>
      </c>
    </row>
    <row r="28" spans="2:11" x14ac:dyDescent="0.2">
      <c r="B28" t="str">
        <f t="shared" si="0"/>
        <v/>
      </c>
      <c r="J28" s="11"/>
      <c r="K28" s="11" t="str">
        <f t="shared" si="1"/>
        <v/>
      </c>
    </row>
    <row r="29" spans="2:11" x14ac:dyDescent="0.2">
      <c r="B29" t="str">
        <f t="shared" si="0"/>
        <v/>
      </c>
      <c r="J29" s="11"/>
      <c r="K29" s="11" t="str">
        <f t="shared" si="1"/>
        <v/>
      </c>
    </row>
    <row r="30" spans="2:11" x14ac:dyDescent="0.2">
      <c r="B30" t="str">
        <f t="shared" si="0"/>
        <v/>
      </c>
      <c r="J30" s="11"/>
      <c r="K30" s="11" t="str">
        <f t="shared" si="1"/>
        <v/>
      </c>
    </row>
    <row r="31" spans="2:11" x14ac:dyDescent="0.2">
      <c r="B31" t="str">
        <f t="shared" si="0"/>
        <v/>
      </c>
      <c r="J31" s="11"/>
      <c r="K31" s="11" t="str">
        <f t="shared" si="1"/>
        <v/>
      </c>
    </row>
    <row r="32" spans="2:11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8 A109:A10000 C109:N10000 B109:B10585">
    <cfRule type="expression" dxfId="7" priority="4">
      <formula>AND(SUMPRODUCT(--($I$3:$I$1000=$I3),--($J$3:$J$1000&lt;=$J3),--($K$3:$K$1000&gt;$J3))&gt;1,NOT($A1=0))</formula>
    </cfRule>
  </conditionalFormatting>
  <conditionalFormatting sqref="A3:N108 A109:A1000 C109:N1000 B109:B10585"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zoomScale="85" zoomScaleNormal="85" workbookViewId="0">
      <selection activeCell="G2" sqref="G2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36</v>
      </c>
      <c r="C2" s="15"/>
      <c r="D2" s="17"/>
      <c r="E2" s="15"/>
      <c r="F2" s="16" t="s">
        <v>252</v>
      </c>
      <c r="G2" s="18">
        <v>36</v>
      </c>
    </row>
    <row r="3" spans="1:8" ht="21" x14ac:dyDescent="0.2">
      <c r="A3" s="27" t="s">
        <v>253</v>
      </c>
      <c r="B3" s="19">
        <f>IF(G2="",DATE(B1,1,1)+B2*7-6,DATE(B1,1,1)+G2*7-6)</f>
        <v>42982</v>
      </c>
      <c r="C3" s="19">
        <f>B3+1</f>
        <v>42983</v>
      </c>
      <c r="D3" s="19">
        <f>C3+1</f>
        <v>42984</v>
      </c>
      <c r="E3" s="19">
        <f>D3+1</f>
        <v>42985</v>
      </c>
      <c r="F3" s="19">
        <f>E3+1</f>
        <v>42986</v>
      </c>
      <c r="G3" s="19">
        <f>F3+1</f>
        <v>42987</v>
      </c>
    </row>
    <row r="4" spans="1:8" ht="21" x14ac:dyDescent="0.2">
      <c r="A4" s="27"/>
      <c r="B4" s="20">
        <f>WEEKDAY(B3)</f>
        <v>2</v>
      </c>
      <c r="C4" s="20">
        <f t="shared" ref="C4:G4" si="0">WEEKDAY(C3)</f>
        <v>3</v>
      </c>
      <c r="D4" s="20">
        <f t="shared" si="0"/>
        <v>4</v>
      </c>
      <c r="E4" s="20">
        <f t="shared" si="0"/>
        <v>5</v>
      </c>
      <c r="F4" s="20">
        <f t="shared" si="0"/>
        <v>6</v>
      </c>
      <c r="G4" s="20">
        <f t="shared" si="0"/>
        <v>7</v>
      </c>
    </row>
    <row r="5" spans="1:8" ht="30" customHeight="1" x14ac:dyDescent="0.2">
      <c r="A5" s="21">
        <v>0.29166666666666669</v>
      </c>
      <c r="B5" s="22" t="str">
        <f t="shared" ref="B5:G19" si="1">calendario(B$3,$A5,$G$1)</f>
        <v/>
      </c>
      <c r="C5" s="22" t="str">
        <f t="shared" si="1"/>
        <v/>
      </c>
      <c r="D5" s="22" t="str">
        <f t="shared" si="1"/>
        <v/>
      </c>
      <c r="E5" s="22" t="str">
        <f t="shared" si="1"/>
        <v/>
      </c>
      <c r="F5" s="22" t="str">
        <f t="shared" si="1"/>
        <v/>
      </c>
      <c r="G5" s="22" t="str">
        <f t="shared" si="1"/>
        <v/>
      </c>
    </row>
    <row r="6" spans="1:8" ht="30" customHeight="1" x14ac:dyDescent="0.2">
      <c r="A6" s="21">
        <v>0.33333333333333298</v>
      </c>
      <c r="B6" s="22" t="str">
        <f t="shared" si="1"/>
        <v/>
      </c>
      <c r="C6" s="22" t="str">
        <f t="shared" si="1"/>
        <v/>
      </c>
      <c r="D6" s="22" t="str">
        <f t="shared" si="1"/>
        <v/>
      </c>
      <c r="E6" s="22" t="str">
        <f t="shared" si="1"/>
        <v>das - gfwe -  - CONTATO COM O CLIENTE</v>
      </c>
      <c r="F6" s="22" t="str">
        <f t="shared" si="1"/>
        <v>Urgente - 44332 - dasfasf - CONTATO COM O CLIENTE</v>
      </c>
      <c r="G6" s="22" t="str">
        <f t="shared" si="1"/>
        <v/>
      </c>
    </row>
    <row r="7" spans="1:8" ht="30" customHeight="1" x14ac:dyDescent="0.2">
      <c r="A7" s="21">
        <v>0.375</v>
      </c>
      <c r="B7" s="22" t="str">
        <f t="shared" si="1"/>
        <v/>
      </c>
      <c r="C7" s="22" t="str">
        <f t="shared" si="1"/>
        <v/>
      </c>
      <c r="D7" s="22" t="str">
        <f>calendario(D$3,$A7,$G$1)</f>
        <v>teste2 - i2 - DASDA - CONTATO COM O CLIENTE</v>
      </c>
      <c r="E7" s="22" t="str">
        <f t="shared" si="1"/>
        <v>das - gfwe -  - CONTATO COM O CLIENTE</v>
      </c>
      <c r="F7" s="22" t="str">
        <f t="shared" si="1"/>
        <v>Urgente - 44332 - dasfasf - CONTATO COM O CLIENTE</v>
      </c>
      <c r="G7" s="22" t="str">
        <f t="shared" si="1"/>
        <v/>
      </c>
      <c r="H7" s="25"/>
    </row>
    <row r="8" spans="1:8" ht="30" customHeight="1" x14ac:dyDescent="0.2">
      <c r="A8" s="21">
        <v>0.41666666666666702</v>
      </c>
      <c r="B8" s="22" t="str">
        <f t="shared" si="1"/>
        <v/>
      </c>
      <c r="C8" s="22" t="str">
        <f t="shared" si="1"/>
        <v/>
      </c>
      <c r="D8" s="22" t="str">
        <f t="shared" si="1"/>
        <v/>
      </c>
      <c r="E8" s="22" t="str">
        <f t="shared" si="1"/>
        <v>das - gfwe -  - CONTATO COM O CLIENTE</v>
      </c>
      <c r="F8" s="22" t="str">
        <f t="shared" si="1"/>
        <v>testtttt - fda -  - CONTATO COM O CLIENTE</v>
      </c>
      <c r="G8" s="22" t="str">
        <f t="shared" si="1"/>
        <v/>
      </c>
    </row>
    <row r="9" spans="1:8" ht="30" customHeight="1" x14ac:dyDescent="0.2">
      <c r="A9" s="21">
        <v>0.45833333333333298</v>
      </c>
      <c r="B9" s="22" t="str">
        <f t="shared" si="1"/>
        <v/>
      </c>
      <c r="C9" s="22" t="str">
        <f t="shared" si="1"/>
        <v/>
      </c>
      <c r="D9" s="22" t="str">
        <f t="shared" si="1"/>
        <v/>
      </c>
      <c r="E9" s="22" t="str">
        <f t="shared" si="1"/>
        <v>das - gfwe -  - CONTATO COM O CLIENTE</v>
      </c>
      <c r="F9" s="22" t="str">
        <f t="shared" si="1"/>
        <v>testtttt - fda -  - CONTATO COM O CLIENTE</v>
      </c>
      <c r="G9" s="22" t="str">
        <f t="shared" si="1"/>
        <v/>
      </c>
    </row>
    <row r="10" spans="1:8" ht="30" customHeight="1" x14ac:dyDescent="0.2">
      <c r="A10" s="21">
        <v>0.5</v>
      </c>
      <c r="B10" s="22" t="str">
        <f t="shared" ref="B10:G16" si="2">calendario(B$3,$A10,$G$1)</f>
        <v/>
      </c>
      <c r="C10" s="22" t="str">
        <f t="shared" si="2"/>
        <v/>
      </c>
      <c r="D10" s="22" t="str">
        <f t="shared" si="2"/>
        <v/>
      </c>
      <c r="E10" s="22" t="str">
        <f t="shared" si="2"/>
        <v/>
      </c>
      <c r="F10" s="22" t="str">
        <f t="shared" si="2"/>
        <v/>
      </c>
      <c r="G10" s="22" t="str">
        <f t="shared" si="2"/>
        <v/>
      </c>
    </row>
    <row r="11" spans="1:8" ht="30" customHeight="1" x14ac:dyDescent="0.2">
      <c r="A11" s="21">
        <v>0.54166666666666496</v>
      </c>
      <c r="B11" s="22" t="str">
        <f t="shared" si="1"/>
        <v/>
      </c>
      <c r="C11" s="22" t="str">
        <f t="shared" si="1"/>
        <v/>
      </c>
      <c r="D11" s="22" t="str">
        <f t="shared" si="1"/>
        <v/>
      </c>
      <c r="E11" s="22" t="str">
        <f t="shared" si="1"/>
        <v/>
      </c>
      <c r="F11" s="22" t="str">
        <f t="shared" si="1"/>
        <v>fa - werf - 6464 - CONTATO COM O CLIENTE</v>
      </c>
      <c r="G11" s="22" t="str">
        <f t="shared" si="1"/>
        <v/>
      </c>
    </row>
    <row r="12" spans="1:8" ht="30" customHeight="1" x14ac:dyDescent="0.2">
      <c r="A12" s="21">
        <v>0.58333333333333104</v>
      </c>
      <c r="B12" s="22" t="str">
        <f t="shared" si="1"/>
        <v/>
      </c>
      <c r="C12" s="22" t="str">
        <f t="shared" si="1"/>
        <v/>
      </c>
      <c r="D12" s="22" t="str">
        <f t="shared" si="1"/>
        <v/>
      </c>
      <c r="E12" s="22" t="str">
        <f t="shared" si="1"/>
        <v/>
      </c>
      <c r="F12" s="22" t="str">
        <f t="shared" si="1"/>
        <v>fa - werf - 6464 - CONTATO COM O CLIENTE</v>
      </c>
      <c r="G12" s="22" t="str">
        <f t="shared" si="1"/>
        <v/>
      </c>
    </row>
    <row r="13" spans="1:8" ht="30" customHeight="1" x14ac:dyDescent="0.2">
      <c r="A13" s="21">
        <v>0.624999999999997</v>
      </c>
      <c r="B13" s="22" t="str">
        <f t="shared" si="1"/>
        <v/>
      </c>
      <c r="C13" s="22" t="str">
        <f t="shared" si="1"/>
        <v/>
      </c>
      <c r="D13" s="22" t="str">
        <f>calendario(D$3,$A13,$G$1)</f>
        <v>eweq - rew -  - CONTATO COM O CLIENTE</v>
      </c>
      <c r="E13" s="22" t="str">
        <f t="shared" si="1"/>
        <v/>
      </c>
      <c r="F13" s="22" t="str">
        <f t="shared" si="1"/>
        <v/>
      </c>
      <c r="G13" s="22" t="str">
        <f t="shared" si="1"/>
        <v/>
      </c>
    </row>
    <row r="14" spans="1:8" ht="30" customHeight="1" x14ac:dyDescent="0.2">
      <c r="A14" s="21">
        <v>0.66666666666666397</v>
      </c>
      <c r="B14" s="22" t="str">
        <f t="shared" si="1"/>
        <v/>
      </c>
      <c r="C14" s="22" t="str">
        <f t="shared" si="1"/>
        <v/>
      </c>
      <c r="D14" s="22" t="str">
        <f t="shared" si="1"/>
        <v>sdadas - dasdas -  - CONTATO COM O CLIENTE</v>
      </c>
      <c r="E14" s="22" t="str">
        <f t="shared" si="1"/>
        <v>teste1 - qqqq - sadsda - CONTATO COM O CLIENTE</v>
      </c>
      <c r="F14" s="22" t="str">
        <f t="shared" si="1"/>
        <v/>
      </c>
      <c r="G14" s="22" t="str">
        <f t="shared" si="1"/>
        <v/>
      </c>
    </row>
    <row r="15" spans="1:8" ht="30" customHeight="1" x14ac:dyDescent="0.2">
      <c r="A15" s="21">
        <v>0.70833333333333004</v>
      </c>
      <c r="B15" s="22" t="str">
        <f t="shared" si="1"/>
        <v/>
      </c>
      <c r="C15" s="22" t="str">
        <f t="shared" si="1"/>
        <v/>
      </c>
      <c r="D15" s="22" t="str">
        <f t="shared" si="1"/>
        <v/>
      </c>
      <c r="E15" s="22" t="str">
        <f t="shared" si="1"/>
        <v/>
      </c>
      <c r="F15" s="22" t="str">
        <f t="shared" si="1"/>
        <v/>
      </c>
      <c r="G15" s="22" t="str">
        <f t="shared" si="1"/>
        <v/>
      </c>
    </row>
    <row r="16" spans="1:8" ht="30" customHeight="1" x14ac:dyDescent="0.2">
      <c r="A16" s="21">
        <v>0.749999999999996</v>
      </c>
      <c r="B16" s="22" t="str">
        <f t="shared" si="2"/>
        <v/>
      </c>
      <c r="C16" s="22" t="str">
        <f t="shared" si="2"/>
        <v/>
      </c>
      <c r="D16" s="22" t="str">
        <f t="shared" si="2"/>
        <v/>
      </c>
      <c r="E16" s="22" t="str">
        <f t="shared" si="2"/>
        <v/>
      </c>
      <c r="F16" s="22" t="str">
        <f t="shared" si="2"/>
        <v/>
      </c>
      <c r="G16" s="22" t="str">
        <f t="shared" si="2"/>
        <v/>
      </c>
    </row>
    <row r="17" spans="1:7" ht="30" customHeight="1" x14ac:dyDescent="0.2">
      <c r="A17" s="21">
        <v>0.79166666666666297</v>
      </c>
      <c r="B17" s="22" t="str">
        <f t="shared" si="1"/>
        <v/>
      </c>
      <c r="C17" s="22" t="str">
        <f t="shared" si="1"/>
        <v/>
      </c>
      <c r="D17" s="22" t="str">
        <f t="shared" si="1"/>
        <v/>
      </c>
      <c r="E17" s="22" t="str">
        <f t="shared" si="1"/>
        <v/>
      </c>
      <c r="F17" s="22" t="str">
        <f t="shared" si="1"/>
        <v/>
      </c>
      <c r="G17" s="22" t="str">
        <f t="shared" si="1"/>
        <v/>
      </c>
    </row>
    <row r="18" spans="1:7" ht="30" customHeight="1" x14ac:dyDescent="0.2">
      <c r="A18" s="21">
        <v>0.83333333333332904</v>
      </c>
      <c r="B18" s="22" t="str">
        <f t="shared" si="1"/>
        <v/>
      </c>
      <c r="C18" s="22" t="str">
        <f t="shared" si="1"/>
        <v/>
      </c>
      <c r="D18" s="22" t="str">
        <f t="shared" si="1"/>
        <v/>
      </c>
      <c r="E18" s="22" t="str">
        <f t="shared" si="1"/>
        <v/>
      </c>
      <c r="F18" s="22" t="str">
        <f t="shared" si="1"/>
        <v/>
      </c>
      <c r="G18" s="22" t="str">
        <f t="shared" si="1"/>
        <v/>
      </c>
    </row>
    <row r="19" spans="1:7" ht="30" customHeight="1" x14ac:dyDescent="0.2">
      <c r="A19" s="21">
        <v>0.874999999999995</v>
      </c>
      <c r="B19" s="22" t="str">
        <f t="shared" si="1"/>
        <v/>
      </c>
      <c r="C19" s="22" t="str">
        <f t="shared" si="1"/>
        <v/>
      </c>
      <c r="D19" s="22" t="str">
        <f t="shared" si="1"/>
        <v/>
      </c>
      <c r="E19" s="22" t="str">
        <f t="shared" si="1"/>
        <v/>
      </c>
      <c r="F19" s="22" t="str">
        <f t="shared" si="1"/>
        <v/>
      </c>
      <c r="G19" s="22" t="str">
        <f t="shared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23"/>
  <sheetViews>
    <sheetView topLeftCell="B1" workbookViewId="0">
      <selection activeCell="G7" sqref="G7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</cols>
  <sheetData>
    <row r="1" spans="1:7" x14ac:dyDescent="0.2">
      <c r="A1" s="28" t="s">
        <v>15</v>
      </c>
      <c r="B1" s="28"/>
      <c r="C1" s="28"/>
      <c r="D1" s="28"/>
      <c r="E1" s="28"/>
      <c r="F1" s="28"/>
      <c r="G1" s="28"/>
    </row>
    <row r="2" spans="1:7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</row>
    <row r="3" spans="1:7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</row>
    <row r="4" spans="1:7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</row>
    <row r="5" spans="1:7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</row>
    <row r="6" spans="1:7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</row>
    <row r="7" spans="1:7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</row>
    <row r="8" spans="1:7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</row>
    <row r="9" spans="1:7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7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7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7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7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7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7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7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6"/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6"/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6"/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6"/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6"/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6"/>
      <c r="C223" s="5" t="s">
        <v>225</v>
      </c>
      <c r="D223" s="7"/>
      <c r="E223" s="8"/>
    </row>
  </sheetData>
  <autoFilter ref="A2:E2"/>
  <mergeCells count="1">
    <mergeCell ref="A1: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2017-09-06T19:07:48Z</dcterms:modified>
</cp:coreProperties>
</file>