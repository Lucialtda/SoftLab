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4" l="1"/>
  <c r="B3" i="4" s="1"/>
  <c r="C3" i="4" l="1"/>
  <c r="B4" i="4"/>
  <c r="D3" i="4" l="1"/>
  <c r="C4" i="4"/>
  <c r="K40" i="2"/>
  <c r="B40" i="2" s="1"/>
  <c r="E3" i="4" l="1"/>
  <c r="D4" i="4"/>
  <c r="E4" i="4" l="1"/>
  <c r="F3" i="4"/>
  <c r="N1" i="2"/>
  <c r="B9" i="2" s="1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B6" i="2"/>
  <c r="B8" i="2"/>
  <c r="B10" i="2"/>
  <c r="B11" i="2"/>
  <c r="B12" i="2"/>
  <c r="B13" i="2"/>
  <c r="K14" i="2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K22" i="2"/>
  <c r="B22" i="2" s="1"/>
  <c r="K23" i="2"/>
  <c r="B23" i="2" s="1"/>
  <c r="K24" i="2"/>
  <c r="B24" i="2" s="1"/>
  <c r="K25" i="2"/>
  <c r="B25" i="2" s="1"/>
  <c r="K26" i="2"/>
  <c r="K27" i="2"/>
  <c r="B27" i="2" s="1"/>
  <c r="K28" i="2"/>
  <c r="B28" i="2" s="1"/>
  <c r="K29" i="2"/>
  <c r="B29" i="2" s="1"/>
  <c r="K30" i="2"/>
  <c r="B30" i="2" s="1"/>
  <c r="K31" i="2"/>
  <c r="B31" i="2" s="1"/>
  <c r="K32" i="2"/>
  <c r="B32" i="2" s="1"/>
  <c r="K33" i="2"/>
  <c r="B33" i="2" s="1"/>
  <c r="K34" i="2"/>
  <c r="B34" i="2" s="1"/>
  <c r="K35" i="2"/>
  <c r="B35" i="2" s="1"/>
  <c r="K36" i="2"/>
  <c r="B36" i="2" s="1"/>
  <c r="K37" i="2"/>
  <c r="B37" i="2" s="1"/>
  <c r="K38" i="2"/>
  <c r="B38" i="2" s="1"/>
  <c r="K39" i="2"/>
  <c r="B39" i="2" s="1"/>
  <c r="K41" i="2"/>
  <c r="B41" i="2" s="1"/>
  <c r="C14" i="4"/>
  <c r="C6" i="4"/>
  <c r="C7" i="4"/>
  <c r="D6" i="4"/>
  <c r="C11" i="4"/>
  <c r="C12" i="4"/>
  <c r="C13" i="4"/>
  <c r="B21" i="2" l="1"/>
  <c r="B14" i="2"/>
  <c r="B26" i="2"/>
  <c r="B4" i="2"/>
  <c r="B5" i="2"/>
  <c r="B3" i="2"/>
  <c r="B7" i="2"/>
  <c r="G3" i="4"/>
  <c r="F4" i="4"/>
  <c r="K42" i="2"/>
  <c r="B42" i="2" s="1"/>
  <c r="K43" i="2"/>
  <c r="K44" i="2"/>
  <c r="B44" i="2" s="1"/>
  <c r="K45" i="2"/>
  <c r="B45" i="2" s="1"/>
  <c r="K46" i="2"/>
  <c r="B46" i="2" s="1"/>
  <c r="K47" i="2"/>
  <c r="B47" i="2" s="1"/>
  <c r="K48" i="2"/>
  <c r="B48" i="2" s="1"/>
  <c r="K49" i="2"/>
  <c r="B49" i="2" s="1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D14" i="4"/>
  <c r="C9" i="4"/>
  <c r="E18" i="4"/>
  <c r="F14" i="4"/>
  <c r="D11" i="4"/>
  <c r="D5" i="4"/>
  <c r="G15" i="4"/>
  <c r="F10" i="4"/>
  <c r="F15" i="4"/>
  <c r="E17" i="4"/>
  <c r="F11" i="4"/>
  <c r="B5" i="4"/>
  <c r="G8" i="4"/>
  <c r="E19" i="4"/>
  <c r="B12" i="4"/>
  <c r="G16" i="4"/>
  <c r="C5" i="4"/>
  <c r="E6" i="4"/>
  <c r="B14" i="4"/>
  <c r="G13" i="4"/>
  <c r="F6" i="4"/>
  <c r="C15" i="4"/>
  <c r="E7" i="4"/>
  <c r="D7" i="4"/>
  <c r="B17" i="4"/>
  <c r="B7" i="4"/>
  <c r="G19" i="4"/>
  <c r="F18" i="4"/>
  <c r="D8" i="4"/>
  <c r="D18" i="4"/>
  <c r="B8" i="4"/>
  <c r="E9" i="4"/>
  <c r="B19" i="4"/>
  <c r="E5" i="4"/>
  <c r="E10" i="4"/>
  <c r="C10" i="4"/>
  <c r="F19" i="4"/>
  <c r="G5" i="4"/>
  <c r="E16" i="4"/>
  <c r="F5" i="4"/>
  <c r="F13" i="4"/>
  <c r="D15" i="4"/>
  <c r="B18" i="4"/>
  <c r="C17" i="4"/>
  <c r="B15" i="4"/>
  <c r="B6" i="4"/>
  <c r="B16" i="4"/>
  <c r="G9" i="4"/>
  <c r="G6" i="4"/>
  <c r="D12" i="4"/>
  <c r="D19" i="4"/>
  <c r="F8" i="4"/>
  <c r="D13" i="4"/>
  <c r="G17" i="4"/>
  <c r="G7" i="4"/>
  <c r="E15" i="4"/>
  <c r="B11" i="4"/>
  <c r="G11" i="4"/>
  <c r="D16" i="4"/>
  <c r="E13" i="4"/>
  <c r="B13" i="4"/>
  <c r="G10" i="4"/>
  <c r="G18" i="4"/>
  <c r="E8" i="4"/>
  <c r="F17" i="4"/>
  <c r="F16" i="4"/>
  <c r="D17" i="4"/>
  <c r="C18" i="4"/>
  <c r="E11" i="4"/>
  <c r="C16" i="4"/>
  <c r="C8" i="4"/>
  <c r="D10" i="4"/>
  <c r="B9" i="4"/>
  <c r="G12" i="4"/>
  <c r="B10" i="4"/>
  <c r="D9" i="4"/>
  <c r="C19" i="4"/>
  <c r="F12" i="4"/>
  <c r="F7" i="4"/>
  <c r="G14" i="4"/>
  <c r="B43" i="2" l="1"/>
  <c r="G4" i="4"/>
  <c r="E14" i="4"/>
  <c r="E12" i="4"/>
</calcChain>
</file>

<file path=xl/sharedStrings.xml><?xml version="1.0" encoding="utf-8"?>
<sst xmlns="http://schemas.openxmlformats.org/spreadsheetml/2006/main" count="837" uniqueCount="302">
  <si>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</si>
  <si>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</si>
  <si>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</si>
  <si>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</si>
  <si>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</si>
  <si>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</si>
  <si>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</si>
  <si>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</si>
  <si>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</si>
  <si>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</si>
  <si>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</si>
  <si>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</si>
  <si>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</si>
  <si>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</si>
  <si>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</si>
  <si>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</si>
  <si>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</si>
  <si>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</si>
  <si>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</si>
  <si>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</si>
  <si>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</si>
  <si>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</si>
  <si>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</si>
  <si>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</si>
  <si>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</si>
  <si>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</si>
  <si>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</si>
  <si>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</si>
  <si>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</si>
  <si>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</si>
  <si>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</si>
  <si>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</si>
  <si>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</si>
  <si>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</si>
  <si>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</si>
  <si>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</si>
  <si>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</si>
  <si>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</si>
  <si>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</si>
  <si>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</si>
  <si>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</si>
  <si>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</si>
  <si>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</si>
  <si>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</si>
  <si>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</si>
  <si>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</si>
  <si>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</si>
  <si>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</si>
  <si>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</si>
  <si>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</si>
  <si>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</si>
  <si>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</si>
  <si>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</si>
  <si>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</si>
  <si>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</si>
  <si>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</si>
  <si>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</si>
  <si>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</si>
  <si>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</si>
  <si>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</si>
  <si>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</si>
  <si>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</si>
  <si>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</si>
  <si>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</si>
  <si>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</si>
  <si>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</si>
  <si>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</si>
  <si>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</si>
  <si>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</si>
  <si>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</si>
  <si>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</si>
  <si>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</si>
  <si>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</si>
  <si>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</si>
  <si>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</si>
  <si>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</si>
  <si>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</si>
  <si>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</si>
  <si>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</si>
  <si>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</si>
  <si>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</si>
  <si>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</si>
  <si>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</si>
  <si>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</si>
  <si>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</si>
  <si>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</si>
  <si>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</si>
  <si>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</si>
  <si>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</si>
  <si>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</si>
  <si>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</si>
  <si>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</si>
  <si>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</si>
  <si>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</si>
  <si>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</si>
  <si>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</si>
  <si>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</si>
  <si>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</si>
  <si>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</si>
  <si>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</si>
  <si>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</si>
  <si>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</si>
  <si>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</si>
  <si>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</si>
  <si>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</si>
  <si>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</si>
  <si>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</si>
  <si>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</si>
  <si>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</si>
  <si>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</si>
  <si>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</si>
  <si>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</si>
  <si>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</si>
  <si>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</si>
  <si>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</si>
  <si>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</si>
  <si>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</si>
  <si>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</si>
  <si>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</si>
  <si>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</si>
  <si>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</si>
  <si>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</si>
  <si>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</si>
  <si>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</si>
  <si>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</si>
  <si>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</si>
  <si>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</si>
  <si>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</si>
  <si>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</si>
  <si>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</si>
  <si>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</si>
  <si>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</si>
  <si>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</si>
  <si>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</si>
  <si>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</si>
  <si>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</si>
  <si>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</si>
  <si>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</si>
  <si>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</si>
  <si>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</si>
  <si>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</si>
  <si>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</si>
  <si>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</si>
  <si>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</si>
  <si>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</si>
  <si>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</si>
  <si>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</si>
  <si>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</si>
  <si>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</si>
  <si>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</si>
  <si>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</si>
  <si>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</si>
  <si>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</si>
  <si>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</si>
  <si>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</si>
  <si>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</si>
  <si>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</si>
  <si>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</si>
  <si>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</si>
  <si>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</si>
  <si>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</si>
  <si>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</si>
  <si>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</si>
  <si>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</si>
  <si>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</si>
  <si>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</si>
  <si>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</si>
  <si>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</si>
  <si>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</si>
  <si>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</si>
  <si>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</si>
  <si>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</si>
  <si>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</si>
  <si>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</si>
  <si>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</si>
  <si>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</si>
  <si>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</si>
  <si>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</si>
  <si>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</si>
  <si>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</si>
  <si>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</si>
  <si>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</si>
  <si>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</si>
  <si>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</si>
  <si>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</si>
  <si>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</si>
  <si>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</si>
  <si>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</si>
  <si>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</si>
  <si>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</si>
  <si>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</si>
  <si>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</si>
  <si>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</si>
  <si>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</si>
  <si>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</si>
  <si>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</si>
  <si>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</si>
  <si>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</si>
  <si>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</si>
  <si>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</si>
  <si>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</si>
  <si>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</si>
  <si>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</si>
  <si>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</si>
  <si>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</si>
  <si>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</si>
  <si>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</si>
  <si>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</si>
  <si>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</si>
  <si>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</si>
  <si>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</si>
  <si>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</si>
  <si>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</si>
  <si>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</si>
  <si>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</si>
  <si>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</si>
  <si>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</si>
  <si>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</si>
  <si>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</si>
  <si>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</si>
  <si>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</si>
  <si>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</si>
  <si>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</si>
  <si>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</si>
  <si>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</si>
  <si>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</si>
  <si>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</si>
  <si>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</si>
  <si>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</si>
  <si>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</si>
  <si>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</si>
  <si>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</si>
  <si>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</si>
  <si>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</si>
  <si>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</si>
  <si>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</si>
  <si>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</si>
  <si>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</si>
  <si>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</si>
  <si>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</si>
  <si>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</si>
  <si>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</si>
  <si>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</si>
  <si>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</si>
  <si>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</si>
  <si>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</si>
  <si>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</si>
  <si>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</si>
  <si>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</si>
  <si>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</si>
  <si>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</si>
  <si>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</si>
  <si>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</si>
  <si>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</si>
  <si>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</si>
  <si>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</si>
  <si>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</si>
  <si>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</si>
  <si>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</si>
  <si>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</si>
  <si>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</si>
  <si>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</si>
  <si>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</si>
  <si>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Feriados do ano</t>
  </si>
  <si>
    <t>gfdgd</t>
  </si>
  <si>
    <t>fdsfkj</t>
  </si>
  <si>
    <t>dsdfafa</t>
  </si>
  <si>
    <t>fdsafa</t>
  </si>
  <si>
    <t>fasd</t>
  </si>
  <si>
    <t>gdfd</t>
  </si>
  <si>
    <t>waerwee</t>
  </si>
  <si>
    <t>rtewtr</t>
  </si>
  <si>
    <t>etwe</t>
  </si>
  <si>
    <t>twssss</t>
  </si>
  <si>
    <t>das</t>
  </si>
  <si>
    <t>kdasldaj</t>
  </si>
  <si>
    <t>dasho</t>
  </si>
  <si>
    <t>asdlksldaks</t>
  </si>
  <si>
    <t>lfasfknda</t>
  </si>
  <si>
    <t>kadjal</t>
  </si>
  <si>
    <t>lskajd</t>
  </si>
  <si>
    <t>dfasdf</t>
  </si>
  <si>
    <t>dasdasd</t>
  </si>
  <si>
    <t>dasda</t>
  </si>
  <si>
    <t>fsdfs</t>
  </si>
  <si>
    <t>fslk</t>
  </si>
  <si>
    <t>asdasd</t>
  </si>
  <si>
    <t>kjdas</t>
  </si>
  <si>
    <t>dasdasda'</t>
  </si>
  <si>
    <t>dasd'</t>
  </si>
  <si>
    <t>xasxas</t>
  </si>
  <si>
    <t>saqdcfwd</t>
  </si>
  <si>
    <t>fasda</t>
  </si>
  <si>
    <t>DASDAS</t>
  </si>
  <si>
    <t>dassda</t>
  </si>
  <si>
    <t>dasdas</t>
  </si>
  <si>
    <t>fsddfds</t>
  </si>
  <si>
    <t>dsfasd</t>
  </si>
  <si>
    <t>fdsdf</t>
  </si>
  <si>
    <t>xd</t>
  </si>
  <si>
    <t>d</t>
  </si>
  <si>
    <t>dasssd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</si>
</sst>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  <numFmt numFmtId="173" formatCode="d/m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9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164" fontId="8" fillId="3" borderId="0" xfId="0" applyFont="1" applyFill="1" applyAlignment="1">
      <alignment horizontal="center" vertical="center"/>
    </xf>
    <xf numFmtId="173" fontId="9" fillId="0" borderId="2" xfId="0" applyNumberFormat="1" applyFont="1" applyFill="1" applyBorder="1" applyAlignment="1">
      <alignment horizontal="center" vertical="center" wrapText="1"/>
    </xf>
    <xf numFmtId="166" fontId="0" fillId="6" borderId="2" xfId="0" applyNumberFormat="1" applyFill="1" applyBorder="1" applyAlignment="1">
      <alignment horizontal="center" vertical="center"/>
    </xf>
    <xf numFmtId="164" fontId="0" fillId="0" borderId="0" xfId="0" applyNumberFormat="1">
      <alignment horizontal="left" vertical="center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O10585"/>
  <sheetViews>
    <sheetView tabSelected="1" zoomScaleNormal="100" workbookViewId="0">
      <pane ySplit="2" topLeftCell="A30" activePane="bottomLeft" state="frozen"/>
      <selection pane="bottomLeft" activeCell="J16" sqref="J16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6" t="s">
        <v>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13">
        <f ca="1">NOW()</f>
        <v>42999.676689699074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264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265</v>
      </c>
      <c r="E3" s="27" t="s">
        <v>261</v>
      </c>
      <c r="F3" s="25" t="s">
        <v>36</v>
      </c>
      <c r="G3" s="28">
        <v>0.16666666666666666</v>
      </c>
      <c r="H3" s="25" t="s">
        <v>241</v>
      </c>
      <c r="I3" s="25" t="s">
        <v>231</v>
      </c>
      <c r="J3" s="29">
        <v>42999.541666666664</v>
      </c>
      <c r="K3" s="11">
        <f t="shared" ref="K3:K67" si="1">IF(A3="","",J3+G3)</f>
        <v>42999.708333333328</v>
      </c>
      <c r="L3" s="30">
        <v>43005</v>
      </c>
      <c r="M3" s="25"/>
      <c r="N3" s="25"/>
      <c r="O3" s="12"/>
    </row>
    <row r="4" spans="1:15" x14ac:dyDescent="0.2">
      <c r="A4" s="25" t="s">
        <v>266</v>
      </c>
      <c r="B4" s="25" t="str">
        <f t="shared" si="0"/>
        <v>NÃO CHEGOU</v>
      </c>
      <c r="C4" s="25" t="s">
        <v>262</v>
      </c>
      <c r="D4" s="26" t="s">
        <v>267</v>
      </c>
      <c r="E4" s="27" t="s">
        <v>261</v>
      </c>
      <c r="F4" s="25" t="s">
        <v>16</v>
      </c>
      <c r="G4" s="28">
        <v>4.1666666666666664E-2</v>
      </c>
      <c r="H4" s="25" t="s">
        <v>241</v>
      </c>
      <c r="I4" s="25" t="s">
        <v>231</v>
      </c>
      <c r="J4" s="29">
        <v>42999.375</v>
      </c>
      <c r="K4" s="11">
        <f t="shared" si="1"/>
        <v>42999.416666666664</v>
      </c>
      <c r="L4" s="30">
        <v>43005</v>
      </c>
      <c r="M4" s="25"/>
      <c r="N4" s="25"/>
    </row>
    <row r="5" spans="1:15" x14ac:dyDescent="0.2">
      <c r="A5" s="25" t="s">
        <v>268</v>
      </c>
      <c r="B5" s="25" t="str">
        <f>IF(A5="","",IF(K5&gt;L5,"CONTATO COM O CLIENTE",IF(E5="","NÃO CHEGOU",IF(M5="",IF(K5&gt;$N$1,"AGUARDANDO NO LABORATORIO","ATRASADO"),"FINALIZADO"))))</f>
        <v>NÃO CHEGOU</v>
      </c>
      <c r="C5" s="25" t="s">
        <v>262</v>
      </c>
      <c r="D5" s="26" t="s">
        <v>269</v>
      </c>
      <c r="E5" s="27" t="s">
        <v>261</v>
      </c>
      <c r="F5" s="25" t="s">
        <v>16</v>
      </c>
      <c r="G5" s="28">
        <v>4.1666666666666664E-2</v>
      </c>
      <c r="H5" s="25" t="s">
        <v>241</v>
      </c>
      <c r="I5" s="25" t="s">
        <v>231</v>
      </c>
      <c r="J5" s="29">
        <v>42999.333333333336</v>
      </c>
      <c r="K5" s="11">
        <f t="shared" si="1"/>
        <v>42999.375</v>
      </c>
      <c r="L5" s="30">
        <v>43006</v>
      </c>
      <c r="M5" s="25"/>
      <c r="N5" s="25"/>
    </row>
    <row r="6" spans="1:15" x14ac:dyDescent="0.2">
      <c r="A6" s="25" t="s">
        <v>270</v>
      </c>
      <c r="B6" s="25" t="str">
        <f t="shared" si="0"/>
        <v>NÃO CHEGOU</v>
      </c>
      <c r="C6" s="25" t="s">
        <v>262</v>
      </c>
      <c r="D6" s="26" t="s">
        <v>271</v>
      </c>
      <c r="E6" s="26" t="s">
        <v>261</v>
      </c>
      <c r="F6" s="25" t="s">
        <v>36</v>
      </c>
      <c r="G6" s="28">
        <v>0.16666666666666666</v>
      </c>
      <c r="H6" s="25" t="s">
        <v>241</v>
      </c>
      <c r="I6" s="25" t="s">
        <v>231</v>
      </c>
      <c r="J6" s="29">
        <v>42997.541666666664</v>
      </c>
      <c r="K6" s="11">
        <f t="shared" si="1"/>
        <v>42997.708333333328</v>
      </c>
      <c r="L6" s="30">
        <v>43006</v>
      </c>
      <c r="M6" s="25"/>
      <c r="N6" s="25"/>
    </row>
    <row r="7" spans="1:15" x14ac:dyDescent="0.2">
      <c r="A7" s="25" t="s">
        <v>272</v>
      </c>
      <c r="B7" s="25" t="str">
        <f t="shared" si="0"/>
        <v>NÃO CHEGOU</v>
      </c>
      <c r="C7" s="25" t="s">
        <v>262</v>
      </c>
      <c r="D7" s="26" t="s">
        <v>273</v>
      </c>
      <c r="E7" s="26" t="s">
        <v>261</v>
      </c>
      <c r="F7" s="25" t="s">
        <v>17</v>
      </c>
      <c r="G7" s="28">
        <v>4.1666666666666664E-2</v>
      </c>
      <c r="H7" s="25" t="s">
        <v>241</v>
      </c>
      <c r="I7" s="25" t="s">
        <v>231</v>
      </c>
      <c r="J7" s="29">
        <v>42997.333333333336</v>
      </c>
      <c r="K7" s="11">
        <f t="shared" si="1"/>
        <v>42997.375</v>
      </c>
      <c r="L7" s="30">
        <v>43006</v>
      </c>
      <c r="M7" s="25"/>
      <c r="N7" s="25"/>
    </row>
    <row r="8" spans="1:15" x14ac:dyDescent="0.2">
      <c r="A8" s="25" t="s">
        <v>275</v>
      </c>
      <c r="B8" s="25" t="str">
        <f t="shared" si="0"/>
        <v>NÃO CHEGOU</v>
      </c>
      <c r="C8" s="25" t="s">
        <v>262</v>
      </c>
      <c r="D8" s="26" t="s">
        <v>276</v>
      </c>
      <c r="E8" s="26" t="s">
        <v>261</v>
      </c>
      <c r="F8" s="25" t="s">
        <v>16</v>
      </c>
      <c r="G8" s="28">
        <v>4.1666666666666664E-2</v>
      </c>
      <c r="H8" s="25" t="s">
        <v>241</v>
      </c>
      <c r="I8" s="25" t="s">
        <v>231</v>
      </c>
      <c r="J8" s="29">
        <v>43003.541666666664</v>
      </c>
      <c r="K8" s="11">
        <f t="shared" si="1"/>
        <v>43003.583333333328</v>
      </c>
      <c r="L8" s="30">
        <v>43007</v>
      </c>
      <c r="M8" s="25"/>
      <c r="N8" s="25"/>
    </row>
    <row r="9" spans="1:15" x14ac:dyDescent="0.2">
      <c r="A9" s="25" t="s">
        <v>277</v>
      </c>
      <c r="B9" s="25" t="str">
        <f t="shared" si="0"/>
        <v>NÃO CHEGOU</v>
      </c>
      <c r="C9" s="25" t="s">
        <v>262</v>
      </c>
      <c r="D9" s="26" t="s">
        <v>278</v>
      </c>
      <c r="E9" s="26" t="s">
        <v>261</v>
      </c>
      <c r="F9" s="25" t="s">
        <v>16</v>
      </c>
      <c r="G9" s="28">
        <v>4.1666666666666664E-2</v>
      </c>
      <c r="H9" s="25" t="s">
        <v>241</v>
      </c>
      <c r="I9" s="25" t="s">
        <v>231</v>
      </c>
      <c r="J9" s="29">
        <v>43003.625</v>
      </c>
      <c r="K9" s="11">
        <f t="shared" si="1"/>
        <v>43003.666666666664</v>
      </c>
      <c r="L9" s="30">
        <v>43007</v>
      </c>
      <c r="M9" s="25"/>
      <c r="N9" s="25"/>
    </row>
    <row r="10" spans="1:15" x14ac:dyDescent="0.2">
      <c r="A10" t="s">
        <v>279</v>
      </c>
      <c r="B10" t="str">
        <f t="shared" si="0"/>
        <v>NÃO CHEGOU</v>
      </c>
      <c r="C10" t="s">
        <v>262</v>
      </c>
      <c r="D10" s="12" t="s">
        <v>280</v>
      </c>
      <c r="E10" s="12" t="s">
        <v>261</v>
      </c>
      <c r="F10" t="s">
        <v>16</v>
      </c>
      <c r="G10" s="10">
        <v>4.1666666666666664E-2</v>
      </c>
      <c r="H10" t="s">
        <v>241</v>
      </c>
      <c r="I10" t="s">
        <v>231</v>
      </c>
      <c r="J10" s="11">
        <v>43004.333333333336</v>
      </c>
      <c r="K10" s="11">
        <f t="shared" si="1"/>
        <v>43004.375</v>
      </c>
      <c r="L10" s="31">
        <v>43007</v>
      </c>
    </row>
    <row r="11" spans="1:15" x14ac:dyDescent="0.2">
      <c r="A11" t="s">
        <v>274</v>
      </c>
      <c r="B11" t="str">
        <f t="shared" si="0"/>
        <v>NÃO CHEGOU</v>
      </c>
      <c r="C11" t="s">
        <v>262</v>
      </c>
      <c r="D11" s="12" t="s">
        <v>281</v>
      </c>
      <c r="E11" s="12" t="s">
        <v>261</v>
      </c>
      <c r="F11" t="s">
        <v>16</v>
      </c>
      <c r="G11" s="10">
        <v>4.1666666666666664E-2</v>
      </c>
      <c r="H11" t="s">
        <v>241</v>
      </c>
      <c r="I11" t="s">
        <v>231</v>
      </c>
      <c r="J11" s="11">
        <v>43004.416666666664</v>
      </c>
      <c r="K11" s="11">
        <f t="shared" si="1"/>
        <v>43004.458333333328</v>
      </c>
      <c r="L11" s="31">
        <v>43007</v>
      </c>
    </row>
    <row r="12" spans="1:15" x14ac:dyDescent="0.2">
      <c r="A12" t="s">
        <v>282</v>
      </c>
      <c r="B12" t="str">
        <f t="shared" si="0"/>
        <v>NÃO CHEGOU</v>
      </c>
      <c r="C12" t="s">
        <v>262</v>
      </c>
      <c r="D12" s="12" t="s">
        <v>283</v>
      </c>
      <c r="E12" s="12" t="s">
        <v>261</v>
      </c>
      <c r="F12" t="s">
        <v>16</v>
      </c>
      <c r="G12" s="10">
        <v>4.1666666666666664E-2</v>
      </c>
      <c r="H12" t="s">
        <v>241</v>
      </c>
      <c r="I12" t="s">
        <v>231</v>
      </c>
      <c r="J12" s="11">
        <v>43004.541666666664</v>
      </c>
      <c r="K12" s="11">
        <f t="shared" si="1"/>
        <v>43004.583333333328</v>
      </c>
      <c r="L12" s="31">
        <v>43007</v>
      </c>
    </row>
    <row r="13" spans="1:15" x14ac:dyDescent="0.2">
      <c r="A13" t="s">
        <v>284</v>
      </c>
      <c r="B13" t="str">
        <f t="shared" si="0"/>
        <v>NÃO CHEGOU</v>
      </c>
      <c r="C13" t="s">
        <v>262</v>
      </c>
      <c r="D13" s="12" t="s">
        <v>285</v>
      </c>
      <c r="E13" s="12" t="s">
        <v>261</v>
      </c>
      <c r="F13" t="s">
        <v>36</v>
      </c>
      <c r="G13" s="10">
        <v>0.16666666666666666</v>
      </c>
      <c r="H13" t="s">
        <v>241</v>
      </c>
      <c r="I13" t="s">
        <v>231</v>
      </c>
      <c r="J13" s="11">
        <v>43005.333333333336</v>
      </c>
      <c r="K13" s="11">
        <f t="shared" si="1"/>
        <v>43005.5</v>
      </c>
      <c r="L13" s="31">
        <v>43010</v>
      </c>
    </row>
    <row r="14" spans="1:15" x14ac:dyDescent="0.2">
      <c r="A14" t="s">
        <v>286</v>
      </c>
      <c r="B14" t="str">
        <f t="shared" si="0"/>
        <v>NÃO CHEGOU</v>
      </c>
      <c r="C14" t="s">
        <v>262</v>
      </c>
      <c r="D14" s="12" t="s">
        <v>287</v>
      </c>
      <c r="E14" s="35" t="s">
        <v>261</v>
      </c>
      <c r="F14" t="s">
        <v>16</v>
      </c>
      <c r="G14" s="10">
        <v>4.1666666666666664E-2</v>
      </c>
      <c r="H14" t="s">
        <v>241</v>
      </c>
      <c r="I14" t="s">
        <v>231</v>
      </c>
      <c r="J14" s="11">
        <v>43004.458333333336</v>
      </c>
      <c r="K14" s="11">
        <f t="shared" si="1"/>
        <v>43004.5</v>
      </c>
      <c r="L14" s="31">
        <v>43010</v>
      </c>
    </row>
    <row r="15" spans="1:15" x14ac:dyDescent="0.2">
      <c r="A15" t="s">
        <v>288</v>
      </c>
      <c r="B15" t="str">
        <f t="shared" si="0"/>
        <v>NÃO CHEGOU</v>
      </c>
      <c r="C15" t="s">
        <v>262</v>
      </c>
      <c r="D15" s="12" t="s">
        <v>289</v>
      </c>
      <c r="E15" s="12" t="s">
        <v>261</v>
      </c>
      <c r="F15" t="s">
        <v>17</v>
      </c>
      <c r="G15" s="10">
        <v>4.1666666666666664E-2</v>
      </c>
      <c r="H15" t="s">
        <v>241</v>
      </c>
      <c r="I15" t="s">
        <v>231</v>
      </c>
      <c r="J15" s="11">
        <v>43003.666666666664</v>
      </c>
      <c r="K15" s="11">
        <f t="shared" si="1"/>
        <v>43003.708333333328</v>
      </c>
      <c r="L15" s="31">
        <v>43010</v>
      </c>
    </row>
    <row r="16" spans="1:15" x14ac:dyDescent="0.2">
      <c r="A16" t="s">
        <v>290</v>
      </c>
      <c r="B16" t="str">
        <f t="shared" si="0"/>
        <v>NÃO CHEGOU</v>
      </c>
      <c r="C16" t="s">
        <v>262</v>
      </c>
      <c r="D16" s="12" t="s">
        <v>291</v>
      </c>
      <c r="E16" s="12" t="s">
        <v>261</v>
      </c>
      <c r="F16" t="s">
        <v>20</v>
      </c>
      <c r="G16" s="10">
        <v>4.1666666666666664E-2</v>
      </c>
      <c r="H16" t="s">
        <v>241</v>
      </c>
      <c r="I16" t="s">
        <v>231</v>
      </c>
      <c r="J16" s="11">
        <v>43004.375</v>
      </c>
      <c r="K16" s="11">
        <f t="shared" si="1"/>
        <v>43004.416666666664</v>
      </c>
      <c r="L16" s="31">
        <v>43010</v>
      </c>
    </row>
    <row r="17" spans="1:12" x14ac:dyDescent="0.2">
      <c r="A17" t="s">
        <v>292</v>
      </c>
      <c r="B17" t="str">
        <f t="shared" si="0"/>
        <v>NÃO CHEGOU</v>
      </c>
      <c r="C17" t="s">
        <v>262</v>
      </c>
      <c r="D17" s="12" t="s">
        <v>293</v>
      </c>
      <c r="E17" s="12" t="s">
        <v>261</v>
      </c>
      <c r="F17" t="s">
        <v>17</v>
      </c>
      <c r="G17" s="10">
        <v>4.1666666666666664E-2</v>
      </c>
      <c r="H17" t="s">
        <v>241</v>
      </c>
      <c r="I17" t="s">
        <v>231</v>
      </c>
      <c r="J17" s="11">
        <v>43003.583333333336</v>
      </c>
      <c r="K17" s="11">
        <f t="shared" si="1"/>
        <v>43003.625</v>
      </c>
      <c r="L17" s="31">
        <v>43010</v>
      </c>
    </row>
    <row r="18" spans="1:12" x14ac:dyDescent="0.2">
      <c r="A18" t="s">
        <v>283</v>
      </c>
      <c r="B18" t="str">
        <f t="shared" si="0"/>
        <v>NÃO CHEGOU</v>
      </c>
      <c r="C18" t="s">
        <v>262</v>
      </c>
      <c r="D18" s="12" t="s">
        <v>294</v>
      </c>
      <c r="E18" s="12" t="s">
        <v>261</v>
      </c>
      <c r="F18" t="s">
        <v>36</v>
      </c>
      <c r="G18" s="10">
        <v>0.16666666666666666</v>
      </c>
      <c r="H18" t="s">
        <v>241</v>
      </c>
      <c r="I18" t="s">
        <v>231</v>
      </c>
      <c r="J18" s="11">
        <v>43003.333333333336</v>
      </c>
      <c r="K18" s="11">
        <f t="shared" si="1"/>
        <v>43003.5</v>
      </c>
      <c r="L18" s="31">
        <v>43011</v>
      </c>
    </row>
    <row r="19" spans="1:12" x14ac:dyDescent="0.2">
      <c r="A19" t="s">
        <v>295</v>
      </c>
      <c r="B19" t="str">
        <f t="shared" si="0"/>
        <v>NÃO CHEGOU</v>
      </c>
      <c r="C19" t="s">
        <v>262</v>
      </c>
      <c r="D19" s="12" t="s">
        <v>296</v>
      </c>
      <c r="E19" s="12" t="s">
        <v>261</v>
      </c>
      <c r="F19" t="s">
        <v>36</v>
      </c>
      <c r="G19" s="10">
        <v>0.16666666666666666</v>
      </c>
      <c r="H19" t="s">
        <v>241</v>
      </c>
      <c r="I19" t="s">
        <v>231</v>
      </c>
      <c r="J19" s="11">
        <v>43000.541666666664</v>
      </c>
      <c r="K19" s="11">
        <f t="shared" si="1"/>
        <v>43000.708333333328</v>
      </c>
      <c r="L19" s="31">
        <v>43011</v>
      </c>
    </row>
    <row r="20" spans="1:12" x14ac:dyDescent="0.2">
      <c r="A20" t="s">
        <v>297</v>
      </c>
      <c r="B20" t="str">
        <f t="shared" si="0"/>
        <v>NÃO CHEGOU</v>
      </c>
      <c r="C20" t="s">
        <v>262</v>
      </c>
      <c r="D20" s="12" t="s">
        <v>298</v>
      </c>
      <c r="E20" s="12" t="s">
        <v>261</v>
      </c>
      <c r="F20" t="s">
        <v>17</v>
      </c>
      <c r="G20" s="10">
        <v>4.1666666666666664E-2</v>
      </c>
      <c r="H20" t="s">
        <v>241</v>
      </c>
      <c r="I20" t="s">
        <v>231</v>
      </c>
      <c r="J20" s="11">
        <v>43005.541666666664</v>
      </c>
      <c r="K20" s="11">
        <f t="shared" si="1"/>
        <v>43005.583333333328</v>
      </c>
      <c r="L20" s="31">
        <v>43012</v>
      </c>
    </row>
    <row r="21" spans="1:12" x14ac:dyDescent="0.2">
      <c r="A21" t="s">
        <v>299</v>
      </c>
      <c r="B21" t="str">
        <f t="shared" si="0"/>
        <v>NÃO CHEGOU</v>
      </c>
      <c r="C21" t="s">
        <v>262</v>
      </c>
      <c r="D21" s="12" t="s">
        <v>300</v>
      </c>
      <c r="E21" s="12" t="s">
        <v>261</v>
      </c>
      <c r="F21" t="s">
        <v>36</v>
      </c>
      <c r="G21" s="10">
        <v>0.16666666666666666</v>
      </c>
      <c r="H21" t="s">
        <v>241</v>
      </c>
      <c r="I21" t="s">
        <v>231</v>
      </c>
      <c r="J21" s="11">
        <v>43006.333333333336</v>
      </c>
      <c r="K21" s="11">
        <f t="shared" si="1"/>
        <v>43006.5</v>
      </c>
      <c r="L21" s="31">
        <v>43012</v>
      </c>
    </row>
    <row r="22" spans="1:12" x14ac:dyDescent="0.2">
      <c r="A22" t="s">
        <v>301</v>
      </c>
      <c r="B22" t="str">
        <f t="shared" si="0"/>
        <v>NÃO CHEGOU</v>
      </c>
      <c r="C22" t="s">
        <v>262</v>
      </c>
      <c r="D22" s="12" t="s">
        <v>274</v>
      </c>
      <c r="E22" s="12" t="s">
        <v>261</v>
      </c>
      <c r="F22" t="s">
        <v>17</v>
      </c>
      <c r="G22" s="10">
        <v>4.1666666666666664E-2</v>
      </c>
      <c r="H22" t="s">
        <v>241</v>
      </c>
      <c r="I22" t="s">
        <v>231</v>
      </c>
      <c r="J22" s="11">
        <v>43000.333333333336</v>
      </c>
      <c r="K22" s="11">
        <f t="shared" si="1"/>
        <v>43000.375</v>
      </c>
      <c r="L22" s="31">
        <v>43013</v>
      </c>
    </row>
    <row r="23" spans="1:12" x14ac:dyDescent="0.2">
      <c r="B23" t="str">
        <f t="shared" si="0"/>
        <v/>
      </c>
      <c r="J23" s="11"/>
      <c r="K23" s="11" t="str">
        <f t="shared" si="1"/>
        <v/>
      </c>
    </row>
    <row r="24" spans="1:12" x14ac:dyDescent="0.2">
      <c r="B24" t="str">
        <f t="shared" si="0"/>
        <v/>
      </c>
      <c r="J24" s="11"/>
      <c r="K24" s="11" t="str">
        <f t="shared" si="1"/>
        <v/>
      </c>
    </row>
    <row r="25" spans="1:12" x14ac:dyDescent="0.2">
      <c r="B25" t="str">
        <f t="shared" si="0"/>
        <v/>
      </c>
      <c r="J25" s="11"/>
      <c r="K25" s="11" t="str">
        <f t="shared" si="1"/>
        <v/>
      </c>
    </row>
    <row r="26" spans="1:12" x14ac:dyDescent="0.2">
      <c r="B26" t="str">
        <f t="shared" si="0"/>
        <v/>
      </c>
      <c r="J26" s="11"/>
      <c r="K26" s="11" t="str">
        <f t="shared" si="1"/>
        <v/>
      </c>
    </row>
    <row r="27" spans="1:12" x14ac:dyDescent="0.2">
      <c r="B27" t="str">
        <f t="shared" si="0"/>
        <v/>
      </c>
      <c r="J27" s="11"/>
      <c r="K27" s="11" t="str">
        <f t="shared" si="1"/>
        <v/>
      </c>
    </row>
    <row r="28" spans="1:12" x14ac:dyDescent="0.2">
      <c r="B28" t="str">
        <f t="shared" si="0"/>
        <v/>
      </c>
      <c r="J28" s="11"/>
      <c r="K28" s="11" t="str">
        <f t="shared" si="1"/>
        <v/>
      </c>
    </row>
    <row r="29" spans="1:12" x14ac:dyDescent="0.2">
      <c r="B29" t="str">
        <f t="shared" si="0"/>
        <v/>
      </c>
      <c r="J29" s="11"/>
      <c r="K29" s="11" t="str">
        <f t="shared" si="1"/>
        <v/>
      </c>
    </row>
    <row r="30" spans="1:12" x14ac:dyDescent="0.2">
      <c r="B30" t="str">
        <f t="shared" si="0"/>
        <v/>
      </c>
      <c r="J30" s="11"/>
      <c r="K30" s="11" t="str">
        <f t="shared" si="1"/>
        <v/>
      </c>
    </row>
    <row r="31" spans="1:12" x14ac:dyDescent="0.2">
      <c r="B31" t="str">
        <f t="shared" si="0"/>
        <v/>
      </c>
      <c r="J31" s="11"/>
      <c r="K31" s="11" t="str">
        <f t="shared" si="1"/>
        <v/>
      </c>
    </row>
    <row r="32" spans="1:12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4"/>
  <sheetViews>
    <sheetView zoomScale="85" zoomScaleNormal="85" workbookViewId="0">
      <selection activeCell="G2" sqref="G2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38</v>
      </c>
      <c r="C2" s="15"/>
      <c r="D2" s="17"/>
      <c r="E2" s="15"/>
      <c r="F2" s="16" t="s">
        <v>252</v>
      </c>
      <c r="G2" s="18"/>
    </row>
    <row r="3" spans="1:8" ht="21" x14ac:dyDescent="0.2">
      <c r="A3" s="37" t="s">
        <v>253</v>
      </c>
      <c r="B3" s="19">
        <f ca="1">IF(G2="",DATE(B1,1,1)+B2*7-6,DATE(B1,1,1)+G2*7-6)</f>
        <v>42996</v>
      </c>
      <c r="C3" s="19">
        <f ca="1">B3+1</f>
        <v>42997</v>
      </c>
      <c r="D3" s="19">
        <f ca="1">C3+1</f>
        <v>42998</v>
      </c>
      <c r="E3" s="19">
        <f ca="1">D3+1</f>
        <v>42999</v>
      </c>
      <c r="F3" s="19">
        <f ca="1">E3+1</f>
        <v>43000</v>
      </c>
      <c r="G3" s="19">
        <f ca="1">F3+1</f>
        <v>43001</v>
      </c>
    </row>
    <row r="4" spans="1:8" ht="21" x14ac:dyDescent="0.2">
      <c r="A4" s="37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8" ht="30" customHeight="1" x14ac:dyDescent="0.2">
      <c r="A5" s="21">
        <v>0.29166666666666669</v>
      </c>
      <c r="B5" s="22" t="str">
        <f t="shared" ref="B5:G19" ca="1" si="1">calendario(B$3,$A5,$G$1)</f>
        <v/>
      </c>
      <c r="C5" s="22" t="str">
        <f t="shared" ca="1" si="1"/>
        <v/>
      </c>
      <c r="D5" s="22" t="str">
        <f t="shared" ca="1" si="1"/>
        <v/>
      </c>
      <c r="E5" s="22" t="str">
        <f t="shared" ca="1" si="1"/>
        <v/>
      </c>
      <c r="F5" s="22" t="str">
        <f t="shared" ca="1" si="1"/>
        <v/>
      </c>
      <c r="G5" s="22" t="str">
        <f t="shared" ca="1" si="1"/>
        <v/>
      </c>
    </row>
    <row r="6" spans="1:8" ht="30" customHeight="1" x14ac:dyDescent="0.2">
      <c r="A6" s="21">
        <v>0.33333333333333298</v>
      </c>
      <c r="B6" s="22" t="str">
        <f t="shared" ca="1" si="1"/>
        <v/>
      </c>
      <c r="C6" s="22" t="str">
        <f ca="1">calendario(C$3,$A6,$G$1)</f>
        <v>etwe - twssss -  - NÃO CHEGOU</v>
      </c>
      <c r="D6" s="22" t="str">
        <f ca="1">calendario(D$3,$A6,$G$1)</f>
        <v/>
      </c>
      <c r="E6" s="22" t="str">
        <f t="shared" ca="1" si="1"/>
        <v>fasd - gdfd -  - NÃO CHEGOU</v>
      </c>
      <c r="F6" s="22" t="str">
        <f t="shared" ca="1" si="1"/>
        <v>dasssd - das -  - NÃO CHEGOU</v>
      </c>
      <c r="G6" s="22" t="str">
        <f t="shared" ca="1" si="1"/>
        <v/>
      </c>
    </row>
    <row r="7" spans="1:8" ht="30" customHeight="1" x14ac:dyDescent="0.2">
      <c r="A7" s="21">
        <v>0.375</v>
      </c>
      <c r="B7" s="22" t="str">
        <f t="shared" ca="1" si="1"/>
        <v/>
      </c>
      <c r="C7" s="22" t="str">
        <f ca="1">calendario(C$3,$A7,$G$1)</f>
        <v/>
      </c>
      <c r="D7" s="22" t="str">
        <f ca="1">calendario(D$3,$A7,$G$1)</f>
        <v/>
      </c>
      <c r="E7" s="22" t="str">
        <f t="shared" ca="1" si="1"/>
        <v>dsdfafa - fdsafa -  - NÃO CHEGOU</v>
      </c>
      <c r="F7" s="22" t="str">
        <f t="shared" ca="1" si="1"/>
        <v/>
      </c>
      <c r="G7" s="22" t="str">
        <f t="shared" ca="1" si="1"/>
        <v/>
      </c>
      <c r="H7" s="24"/>
    </row>
    <row r="8" spans="1:8" ht="30" customHeight="1" x14ac:dyDescent="0.2">
      <c r="A8" s="21">
        <v>0.41666666666666702</v>
      </c>
      <c r="B8" s="22" t="str">
        <f t="shared" ca="1" si="1"/>
        <v/>
      </c>
      <c r="C8" s="22" t="str">
        <f t="shared" ca="1" si="1"/>
        <v/>
      </c>
      <c r="D8" s="22" t="str">
        <f t="shared" ca="1" si="1"/>
        <v/>
      </c>
      <c r="E8" s="22" t="str">
        <f t="shared" ca="1" si="1"/>
        <v/>
      </c>
      <c r="F8" s="22" t="str">
        <f t="shared" ca="1" si="1"/>
        <v/>
      </c>
      <c r="G8" s="22" t="str">
        <f t="shared" ca="1" si="1"/>
        <v/>
      </c>
    </row>
    <row r="9" spans="1:8" ht="30" customHeight="1" x14ac:dyDescent="0.2">
      <c r="A9" s="21">
        <v>0.45833333333333298</v>
      </c>
      <c r="B9" s="22" t="str">
        <f t="shared" ca="1" si="1"/>
        <v/>
      </c>
      <c r="C9" s="22" t="str">
        <f t="shared" ca="1" si="1"/>
        <v/>
      </c>
      <c r="D9" s="22" t="str">
        <f t="shared" ca="1" si="1"/>
        <v/>
      </c>
      <c r="E9" s="22" t="str">
        <f t="shared" ca="1" si="1"/>
        <v/>
      </c>
      <c r="F9" s="22"/>
      <c r="G9" s="22" t="str">
        <f t="shared" ca="1" si="1"/>
        <v/>
      </c>
    </row>
    <row r="10" spans="1:8" ht="30" customHeight="1" x14ac:dyDescent="0.2">
      <c r="A10" s="21">
        <v>0.5</v>
      </c>
      <c r="B10" s="22" t="str">
        <f t="shared" ref="B10:G16" ca="1" si="2">calendario(B$3,$A10,$G$1)</f>
        <v/>
      </c>
      <c r="C10" s="22" t="str">
        <f t="shared" ca="1" si="2"/>
        <v/>
      </c>
      <c r="D10" s="22" t="str">
        <f t="shared" ca="1" si="2"/>
        <v/>
      </c>
      <c r="E10" s="22" t="str">
        <f t="shared" ca="1" si="2"/>
        <v/>
      </c>
      <c r="F10" s="22" t="str">
        <f t="shared" ca="1" si="2"/>
        <v/>
      </c>
      <c r="G10" s="22" t="str">
        <f t="shared" ca="1" si="2"/>
        <v/>
      </c>
    </row>
    <row r="11" spans="1:8" ht="30" customHeight="1" x14ac:dyDescent="0.2">
      <c r="A11" s="21">
        <v>0.54166666666666496</v>
      </c>
      <c r="B11" s="22" t="str">
        <f t="shared" ca="1" si="1"/>
        <v/>
      </c>
      <c r="C11" s="22" t="str">
        <f ca="1">calendario(C$3,$A11,$G$1)</f>
        <v>waerwee - rtewtr -  - NÃO CHEGOU</v>
      </c>
      <c r="D11" s="22" t="str">
        <f t="shared" ca="1" si="1"/>
        <v/>
      </c>
      <c r="E11" s="22" t="str">
        <f t="shared" ca="1" si="1"/>
        <v>gfdgd - fdsfkj -  - NÃO CHEGOU</v>
      </c>
      <c r="F11" s="22" t="str">
        <f t="shared" ca="1" si="1"/>
        <v>dasdas - fsddfds -  - NÃO CHEGOU</v>
      </c>
      <c r="G11" s="22" t="str">
        <f t="shared" ca="1" si="1"/>
        <v/>
      </c>
    </row>
    <row r="12" spans="1:8" ht="30" customHeight="1" x14ac:dyDescent="0.2">
      <c r="A12" s="21">
        <v>0.58333333333333104</v>
      </c>
      <c r="B12" s="22" t="str">
        <f t="shared" ca="1" si="1"/>
        <v/>
      </c>
      <c r="C12" s="22" t="str">
        <f ca="1">calendario(C$3,$A12,$G$1)</f>
        <v>waerwee - rtewtr -  - NÃO CHEGOU</v>
      </c>
      <c r="D12" s="22" t="str">
        <f t="shared" ca="1" si="1"/>
        <v/>
      </c>
      <c r="E12" s="22" t="str">
        <f t="shared" ca="1" si="1"/>
        <v>gfdgd - fdsfkj -  - NÃO CHEGOU</v>
      </c>
      <c r="F12" s="22" t="str">
        <f t="shared" ca="1" si="1"/>
        <v>dasdas - fsddfds -  - NÃO CHEGOU</v>
      </c>
      <c r="G12" s="22" t="str">
        <f t="shared" ca="1" si="1"/>
        <v/>
      </c>
    </row>
    <row r="13" spans="1:8" ht="30" customHeight="1" x14ac:dyDescent="0.2">
      <c r="A13" s="21">
        <v>0.624999999999997</v>
      </c>
      <c r="B13" s="22" t="str">
        <f t="shared" ca="1" si="1"/>
        <v/>
      </c>
      <c r="C13" s="22" t="str">
        <f ca="1">calendario(C$3,$A13,$G$1)</f>
        <v>waerwee - rtewtr -  - NÃO CHEGOU</v>
      </c>
      <c r="D13" s="22" t="str">
        <f ca="1">calendario(D$3,$A13,$G$1)</f>
        <v/>
      </c>
      <c r="E13" s="22" t="str">
        <f t="shared" ca="1" si="1"/>
        <v>gfdgd - fdsfkj -  - NÃO CHEGOU</v>
      </c>
      <c r="F13" s="22" t="str">
        <f t="shared" ca="1" si="1"/>
        <v>dasdas - fsddfds -  - NÃO CHEGOU</v>
      </c>
      <c r="G13" s="22" t="str">
        <f t="shared" ca="1" si="1"/>
        <v/>
      </c>
    </row>
    <row r="14" spans="1:8" ht="30" customHeight="1" x14ac:dyDescent="0.2">
      <c r="A14" s="21">
        <v>0.66666666666666397</v>
      </c>
      <c r="B14" s="22" t="str">
        <f t="shared" ca="1" si="1"/>
        <v/>
      </c>
      <c r="C14" s="22" t="str">
        <f ca="1">calendario(C$3,$A14,$G$1)</f>
        <v>waerwee - rtewtr -  - NÃO CHEGOU</v>
      </c>
      <c r="D14" s="22" t="str">
        <f t="shared" ca="1" si="1"/>
        <v/>
      </c>
      <c r="E14" s="22" t="str">
        <f ca="1">calendario(E$3,$A14,$G$1)</f>
        <v>gfdgd - fdsfkj -  - NÃO CHEGOU</v>
      </c>
      <c r="F14" s="22" t="str">
        <f t="shared" ca="1" si="1"/>
        <v>dasdas - fsddfds -  - NÃO CHEGOU</v>
      </c>
      <c r="G14" s="22" t="str">
        <f t="shared" ca="1" si="1"/>
        <v/>
      </c>
    </row>
    <row r="15" spans="1:8" ht="30" customHeight="1" x14ac:dyDescent="0.2">
      <c r="A15" s="21">
        <v>0.70833333333333004</v>
      </c>
      <c r="B15" s="22" t="str">
        <f t="shared" ca="1" si="1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8" ht="30" customHeight="1" x14ac:dyDescent="0.2">
      <c r="A16" s="21">
        <v>0.749999999999996</v>
      </c>
      <c r="B16" s="22" t="str">
        <f t="shared" ca="1" si="2"/>
        <v/>
      </c>
      <c r="C16" s="22" t="str">
        <f t="shared" ca="1" si="2"/>
        <v/>
      </c>
      <c r="D16" s="22" t="str">
        <f t="shared" ca="1" si="2"/>
        <v/>
      </c>
      <c r="E16" s="22" t="str">
        <f t="shared" ca="1" si="2"/>
        <v/>
      </c>
      <c r="F16" s="22" t="str">
        <f t="shared" ca="1" si="2"/>
        <v/>
      </c>
      <c r="G16" s="22" t="str">
        <f t="shared" ca="1" si="2"/>
        <v/>
      </c>
    </row>
    <row r="17" spans="1:7" ht="30" customHeight="1" x14ac:dyDescent="0.2">
      <c r="A17" s="21">
        <v>0.79166666666666297</v>
      </c>
      <c r="B17" s="22" t="str">
        <f t="shared" ca="1" si="1"/>
        <v/>
      </c>
      <c r="C17" s="22" t="str">
        <f t="shared" ca="1" si="1"/>
        <v/>
      </c>
      <c r="D17" s="22" t="str">
        <f t="shared" ca="1" si="1"/>
        <v/>
      </c>
      <c r="E17" s="22" t="str">
        <f t="shared" ca="1" si="1"/>
        <v/>
      </c>
      <c r="F17" s="22" t="str">
        <f t="shared" ca="1" si="1"/>
        <v/>
      </c>
      <c r="G17" s="22" t="str">
        <f t="shared" ca="1" si="1"/>
        <v/>
      </c>
    </row>
    <row r="18" spans="1:7" ht="30" customHeight="1" x14ac:dyDescent="0.2">
      <c r="A18" s="21">
        <v>0.83333333333332904</v>
      </c>
      <c r="B18" s="22" t="str">
        <f t="shared" ca="1" si="1"/>
        <v/>
      </c>
      <c r="C18" s="22" t="str">
        <f t="shared" ca="1" si="1"/>
        <v/>
      </c>
      <c r="D18" s="22" t="str">
        <f t="shared" ca="1" si="1"/>
        <v/>
      </c>
      <c r="E18" s="22" t="str">
        <f t="shared" ca="1" si="1"/>
        <v/>
      </c>
      <c r="F18" s="22" t="str">
        <f t="shared" ca="1" si="1"/>
        <v/>
      </c>
      <c r="G18" s="22" t="str">
        <f t="shared" ca="1" si="1"/>
        <v/>
      </c>
    </row>
    <row r="19" spans="1:7" ht="30" customHeight="1" x14ac:dyDescent="0.2">
      <c r="A19" s="21">
        <v>0.874999999999995</v>
      </c>
      <c r="B19" s="22" t="str">
        <f t="shared" ca="1" si="1"/>
        <v/>
      </c>
      <c r="C19" s="22" t="str">
        <f t="shared" ca="1" si="1"/>
        <v/>
      </c>
      <c r="D19" s="22" t="str">
        <f t="shared" ca="1" si="1"/>
        <v/>
      </c>
      <c r="E19" s="22" t="str">
        <f t="shared" ca="1" si="1"/>
        <v/>
      </c>
      <c r="F19" s="22" t="str">
        <f t="shared" ca="1" si="1"/>
        <v/>
      </c>
      <c r="G19" s="22" t="str">
        <f t="shared" ca="1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H223"/>
  <sheetViews>
    <sheetView workbookViewId="0">
      <selection activeCell="C219" sqref="C219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  <col min="8" max="8" width="15" customWidth="1"/>
  </cols>
  <sheetData>
    <row r="1" spans="1:8" x14ac:dyDescent="0.2">
      <c r="A1" s="38" t="s">
        <v>15</v>
      </c>
      <c r="B1" s="38"/>
      <c r="C1" s="38"/>
      <c r="D1" s="38"/>
      <c r="E1" s="38"/>
      <c r="F1" s="38"/>
      <c r="G1" s="38"/>
      <c r="H1" s="38"/>
    </row>
    <row r="2" spans="1:8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  <c r="H2" s="32" t="s">
        <v>263</v>
      </c>
    </row>
    <row r="3" spans="1:8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  <c r="H3" s="33">
        <v>42998</v>
      </c>
    </row>
    <row r="4" spans="1:8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  <c r="H4" s="33">
        <v>43020</v>
      </c>
    </row>
    <row r="5" spans="1:8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  <c r="H5" s="33">
        <v>43041</v>
      </c>
    </row>
    <row r="6" spans="1:8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  <c r="H6" s="33">
        <v>43054</v>
      </c>
    </row>
    <row r="7" spans="1:8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  <c r="H7" s="33">
        <v>43094</v>
      </c>
    </row>
    <row r="8" spans="1:8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  <c r="H8" s="33">
        <v>43101</v>
      </c>
    </row>
    <row r="9" spans="1:8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8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8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8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8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8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8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8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34">
        <v>4.1666666666666664E-2</v>
      </c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34">
        <v>4.1666666666666664E-2</v>
      </c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34">
        <v>4.1666666666666664E-2</v>
      </c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34">
        <v>4.1666666666666664E-2</v>
      </c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34">
        <v>4.1666666666666664E-2</v>
      </c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34">
        <v>4.1666666666666664E-2</v>
      </c>
      <c r="C223" s="5" t="s">
        <v>225</v>
      </c>
      <c r="D223" s="7"/>
      <c r="E223" s="8"/>
    </row>
  </sheetData>
  <autoFilter ref="A2:E2"/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2017-09-21T19:14:42Z</dcterms:modified>
</cp:coreProperties>
</file>