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  <fileRecoveryPr autoRecover="0"/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B109" i="2" l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2" i="4" l="1"/>
  <c r="B3" i="4" s="1"/>
  <c r="C3" i="4" l="1"/>
  <c r="B4" i="4"/>
  <c r="D3" i="4" l="1"/>
  <c r="C4" i="4"/>
  <c r="K40" i="2"/>
  <c r="B40" i="2" s="1"/>
  <c r="E3" i="4" l="1"/>
  <c r="D4" i="4"/>
  <c r="E4" i="4" l="1"/>
  <c r="F3" i="4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B6" i="2"/>
  <c r="B8" i="2"/>
  <c r="B9" i="2"/>
  <c r="B10" i="2"/>
  <c r="B11" i="2"/>
  <c r="B12" i="2"/>
  <c r="B13" i="2"/>
  <c r="K14" i="2"/>
  <c r="B14" i="2" s="1"/>
  <c r="K15" i="2"/>
  <c r="B15" i="2" s="1"/>
  <c r="K16" i="2"/>
  <c r="B16" i="2" s="1"/>
  <c r="K17" i="2"/>
  <c r="B17" i="2" s="1"/>
  <c r="K18" i="2"/>
  <c r="B18" i="2" s="1"/>
  <c r="K19" i="2"/>
  <c r="B19" i="2" s="1"/>
  <c r="K20" i="2"/>
  <c r="B20" i="2" s="1"/>
  <c r="K21" i="2"/>
  <c r="B21" i="2" s="1"/>
  <c r="K22" i="2"/>
  <c r="B22" i="2" s="1"/>
  <c r="K23" i="2"/>
  <c r="B23" i="2" s="1"/>
  <c r="K24" i="2"/>
  <c r="B24" i="2" s="1"/>
  <c r="K25" i="2"/>
  <c r="B25" i="2" s="1"/>
  <c r="K26" i="2"/>
  <c r="K27" i="2"/>
  <c r="B27" i="2" s="1"/>
  <c r="K28" i="2"/>
  <c r="B28" i="2" s="1"/>
  <c r="K29" i="2"/>
  <c r="B29" i="2" s="1"/>
  <c r="K30" i="2"/>
  <c r="B30" i="2" s="1"/>
  <c r="K31" i="2"/>
  <c r="B31" i="2" s="1"/>
  <c r="K32" i="2"/>
  <c r="B32" i="2" s="1"/>
  <c r="K33" i="2"/>
  <c r="B33" i="2" s="1"/>
  <c r="K34" i="2"/>
  <c r="B34" i="2" s="1"/>
  <c r="K35" i="2"/>
  <c r="B35" i="2" s="1"/>
  <c r="K36" i="2"/>
  <c r="B36" i="2" s="1"/>
  <c r="K37" i="2"/>
  <c r="B37" i="2" s="1"/>
  <c r="K38" i="2"/>
  <c r="B38" i="2" s="1"/>
  <c r="K39" i="2"/>
  <c r="B39" i="2" s="1"/>
  <c r="K41" i="2"/>
  <c r="B41" i="2" s="1"/>
  <c r="B26" i="2" l="1"/>
  <c r="B4" i="2"/>
  <c r="B5" i="2"/>
  <c r="B3" i="2"/>
  <c r="B7" i="2"/>
  <c r="G3" i="4"/>
  <c r="F4" i="4"/>
  <c r="K42" i="2"/>
  <c r="B42" i="2" s="1"/>
  <c r="K43" i="2"/>
  <c r="K44" i="2"/>
  <c r="B44" i="2" s="1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B16" i="4"/>
  <c r="C17" i="4"/>
  <c r="D11" i="4"/>
  <c r="E11" i="4"/>
  <c r="F6" i="4"/>
  <c r="B7" i="4"/>
  <c r="E19" i="4"/>
  <c r="F19" i="4"/>
  <c r="B19" i="4"/>
  <c r="C19" i="4"/>
  <c r="E13" i="4"/>
  <c r="G7" i="4"/>
  <c r="F10" i="4"/>
  <c r="G13" i="4"/>
  <c r="F14" i="4"/>
  <c r="B14" i="4"/>
  <c r="D13" i="4"/>
  <c r="E18" i="4"/>
  <c r="G12" i="4"/>
  <c r="F9" i="4"/>
  <c r="D5" i="4"/>
  <c r="F18" i="4"/>
  <c r="B15" i="4"/>
  <c r="C15" i="4"/>
  <c r="D8" i="4"/>
  <c r="F7" i="4"/>
  <c r="G16" i="4"/>
  <c r="B12" i="4"/>
  <c r="G18" i="4"/>
  <c r="D14" i="4"/>
  <c r="B9" i="4"/>
  <c r="C10" i="4"/>
  <c r="E17" i="4"/>
  <c r="G8" i="4"/>
  <c r="C7" i="4"/>
  <c r="G14" i="4"/>
  <c r="B11" i="4"/>
  <c r="C9" i="4"/>
  <c r="D12" i="4"/>
  <c r="E16" i="4"/>
  <c r="G11" i="4"/>
  <c r="B5" i="4"/>
  <c r="E7" i="4"/>
  <c r="F15" i="4"/>
  <c r="B6" i="4"/>
  <c r="C8" i="4"/>
  <c r="E9" i="4"/>
  <c r="G19" i="4"/>
  <c r="F12" i="4"/>
  <c r="C16" i="4"/>
  <c r="G15" i="4"/>
  <c r="B17" i="4"/>
  <c r="C18" i="4"/>
  <c r="D19" i="4"/>
  <c r="E15" i="4"/>
  <c r="G6" i="4"/>
  <c r="D17" i="4"/>
  <c r="F5" i="4"/>
  <c r="B8" i="4"/>
  <c r="C13" i="4"/>
  <c r="D18" i="4"/>
  <c r="D9" i="4"/>
  <c r="G5" i="4"/>
  <c r="C14" i="4"/>
  <c r="G17" i="4"/>
  <c r="B18" i="4"/>
  <c r="C11" i="4"/>
  <c r="D15" i="4"/>
  <c r="E10" i="4"/>
  <c r="F11" i="4"/>
  <c r="F17" i="4"/>
  <c r="D16" i="4"/>
  <c r="F16" i="4"/>
  <c r="B13" i="4"/>
  <c r="C12" i="4"/>
  <c r="D10" i="4"/>
  <c r="E6" i="4"/>
  <c r="G10" i="4"/>
  <c r="E5" i="4"/>
  <c r="F13" i="4"/>
  <c r="B10" i="4"/>
  <c r="C5" i="4"/>
  <c r="E8" i="4"/>
  <c r="G9" i="4"/>
  <c r="F8" i="4"/>
  <c r="C6" i="4"/>
  <c r="D7" i="4"/>
  <c r="B43" i="2" l="1"/>
  <c r="G4" i="4"/>
  <c r="D6" i="4"/>
  <c r="E14" i="4"/>
  <c r="E12" i="4"/>
</calcChain>
</file>

<file path=xl/sharedStrings.xml><?xml version="1.0" encoding="utf-8"?>
<sst xmlns="http://schemas.openxmlformats.org/spreadsheetml/2006/main" count="711" uniqueCount="268">
  <si>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</si>
  <si>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</si>
  <si>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</si>
  <si>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</si>
  <si>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</si>
  <si>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</si>
  <si>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</si>
  <si>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</si>
  <si>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</si>
  <si>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</si>
  <si>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</si>
  <si>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</si>
  <si>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</si>
  <si>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</si>
  <si>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</si>
  <si>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</si>
  <si>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</si>
  <si>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</si>
  <si>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</si>
  <si>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</si>
  <si>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</si>
  <si>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</si>
  <si>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</si>
  <si>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</si>
  <si>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</si>
  <si>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</si>
  <si>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</si>
  <si>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</si>
  <si>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</si>
  <si>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</si>
  <si>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</si>
  <si>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</si>
  <si>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</si>
  <si>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</si>
  <si>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</si>
  <si>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</si>
  <si>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</si>
  <si>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</si>
  <si>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</si>
  <si>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</si>
  <si>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</si>
  <si>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</si>
  <si>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</si>
  <si>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</si>
  <si>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</si>
  <si>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</si>
  <si>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</si>
  <si>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</si>
  <si>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</si>
  <si>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</si>
  <si>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</si>
  <si>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</si>
  <si>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</si>
  <si>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</si>
  <si>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</si>
  <si>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</si>
  <si>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</si>
  <si>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</si>
  <si>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</si>
  <si>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</si>
  <si>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</si>
  <si>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</si>
  <si>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</si>
  <si>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</si>
  <si>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</si>
  <si>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</si>
  <si>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</si>
  <si>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</si>
  <si>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</si>
  <si>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</si>
  <si>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</si>
  <si>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</si>
  <si>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</si>
  <si>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</si>
  <si>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</si>
  <si>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</si>
  <si>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</si>
  <si>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</si>
  <si>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</si>
  <si>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</si>
  <si>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</si>
  <si>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</si>
  <si>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</si>
  <si>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</si>
  <si>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</si>
  <si>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</si>
  <si>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</si>
  <si>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</si>
  <si>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</si>
  <si>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</si>
  <si>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</si>
  <si>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</si>
  <si>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</si>
  <si>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</si>
  <si>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</si>
  <si>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</si>
  <si>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</si>
  <si>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</si>
  <si>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</si>
  <si>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</si>
  <si>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</si>
  <si>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</si>
  <si>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</si>
  <si>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</si>
  <si>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</si>
  <si>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</si>
  <si>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</si>
  <si>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</si>
  <si>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</si>
  <si>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</si>
  <si>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</si>
  <si>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</si>
  <si>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</si>
  <si>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</si>
  <si>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</si>
  <si>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</si>
  <si>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</si>
  <si>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</si>
  <si>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</si>
  <si>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</si>
  <si>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</si>
  <si>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</si>
  <si>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</si>
  <si>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</si>
  <si>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</si>
  <si>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</si>
  <si>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</si>
  <si>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</si>
  <si>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</si>
  <si>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</si>
  <si>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</si>
  <si>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</si>
  <si>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</si>
  <si>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</si>
  <si>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</si>
  <si>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</si>
  <si>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</si>
  <si>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</si>
  <si>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</si>
  <si>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</si>
  <si>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</si>
  <si>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</si>
  <si>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</si>
  <si>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</si>
  <si>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</si>
  <si>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</si>
  <si>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</si>
  <si>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</si>
  <si>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</si>
  <si>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</si>
  <si>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</si>
  <si>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</si>
  <si>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</si>
  <si>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</si>
  <si>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</si>
  <si>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</si>
  <si>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</si>
  <si>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</si>
  <si>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</si>
  <si>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</si>
  <si>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</si>
  <si>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</si>
  <si>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</si>
  <si>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</si>
  <si>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</si>
  <si>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</si>
  <si>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</si>
  <si>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</si>
  <si>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</si>
  <si>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</si>
  <si>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</si>
  <si>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</si>
  <si>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</si>
  <si>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</si>
  <si>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</si>
  <si>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</si>
  <si>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</si>
  <si>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</si>
  <si>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</si>
  <si>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</si>
  <si>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</si>
  <si>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</si>
  <si>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</si>
  <si>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</si>
  <si>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</si>
  <si>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</si>
  <si>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</si>
  <si>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</si>
  <si>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</si>
  <si>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</si>
  <si>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</si>
  <si>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</si>
  <si>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</si>
  <si>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</si>
  <si>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</si>
  <si>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</si>
  <si>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</si>
  <si>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</si>
  <si>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</si>
  <si>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</si>
  <si>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</si>
  <si>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</si>
  <si>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</si>
  <si>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</si>
  <si>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</si>
  <si>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</si>
  <si>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</si>
  <si>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</si>
  <si>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</si>
  <si>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</si>
  <si>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</si>
  <si>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</si>
  <si>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</si>
  <si>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</si>
  <si>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</si>
  <si>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</si>
  <si>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</si>
  <si>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</si>
  <si>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</si>
  <si>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</si>
  <si>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</si>
  <si>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</si>
  <si>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</si>
  <si>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</si>
  <si>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</si>
  <si>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</si>
  <si>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</si>
  <si>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</si>
  <si>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</si>
  <si>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</si>
  <si>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</si>
  <si>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</si>
  <si>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</si>
  <si>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</si>
  <si>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</si>
  <si>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</si>
  <si>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</si>
  <si>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</si>
  <si>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</si>
  <si>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</si>
  <si>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</si>
  <si>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</si>
  <si>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</si>
  <si>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</si>
  <si>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</si>
  <si>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</si>
  <si>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</si>
  <si>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</si>
  <si>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Data Limite para entrega:</t>
  </si>
  <si>
    <t>Certificado /Relatório</t>
  </si>
  <si>
    <t>Ano</t>
  </si>
  <si>
    <t>Semana</t>
  </si>
  <si>
    <t>Escolha uma semana:</t>
  </si>
  <si>
    <t>Hora</t>
  </si>
  <si>
    <t>Escolha um laboratório:</t>
  </si>
  <si>
    <t>Serviço Externo</t>
  </si>
  <si>
    <t>Lista dos laboratórios</t>
  </si>
  <si>
    <t>Colaboradores</t>
  </si>
  <si>
    <t>Samuel</t>
  </si>
  <si>
    <t>Gerônimo</t>
  </si>
  <si>
    <t>William</t>
  </si>
  <si>
    <t/>
  </si>
  <si>
    <t>Não</t>
  </si>
  <si>
    <t>Feriados do ano</t>
  </si>
  <si>
    <t>rerq</t>
  </si>
  <si>
    <t>qeqw</t>
  </si>
  <si>
    <t>sdas</t>
  </si>
  <si>
    <t>dasdads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</si>
</sst>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  <numFmt numFmtId="172" formatCode="dd/mm/yy;@"/>
    <numFmt numFmtId="173" formatCode="d/m;@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3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164" fontId="8" fillId="3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 wrapText="1" indent="1"/>
    </xf>
    <xf numFmtId="164" fontId="0" fillId="0" borderId="0" xfId="0" applyFill="1">
      <alignment horizontal="left" vertical="center" indent="1"/>
    </xf>
    <xf numFmtId="0" fontId="0" fillId="0" borderId="0" xfId="0" applyNumberFormat="1" applyFill="1">
      <alignment horizontal="left" vertical="center" indent="1"/>
    </xf>
    <xf numFmtId="164" fontId="0" fillId="0" borderId="0" xfId="0" applyNumberFormat="1" applyFill="1">
      <alignment horizontal="left" vertical="center" indent="1"/>
    </xf>
    <xf numFmtId="168" fontId="0" fillId="0" borderId="0" xfId="0" applyNumberFormat="1" applyFill="1">
      <alignment horizontal="left" vertical="center" indent="1"/>
    </xf>
    <xf numFmtId="169" fontId="0" fillId="0" borderId="0" xfId="0" applyNumberFormat="1" applyFill="1">
      <alignment horizontal="left" vertical="center" indent="1"/>
    </xf>
    <xf numFmtId="172" fontId="0" fillId="0" borderId="0" xfId="0" applyNumberFormat="1" applyFill="1">
      <alignment horizontal="left" vertical="center" indent="1"/>
    </xf>
    <xf numFmtId="172" fontId="0" fillId="0" borderId="0" xfId="0" applyNumberFormat="1">
      <alignment horizontal="left" vertical="center" indent="1"/>
    </xf>
    <xf numFmtId="164" fontId="8" fillId="3" borderId="0" xfId="0" applyFont="1" applyFill="1" applyAlignment="1">
      <alignment horizontal="center" vertical="center"/>
    </xf>
    <xf numFmtId="173" fontId="9" fillId="0" borderId="2" xfId="0" applyNumberFormat="1" applyFont="1" applyFill="1" applyBorder="1" applyAlignment="1">
      <alignment horizontal="center" vertical="center" wrapTex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11"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10"/>
      <tableStyleElement type="headerRow" dxfId="9"/>
      <tableStyleElement type="firstColumn" dxfId="8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Normal="100" workbookViewId="0">
      <pane ySplit="2" topLeftCell="A3" activePane="bottomLeft" state="frozen"/>
      <selection pane="bottomLeft" activeCell="K9" sqref="K9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3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34" t="s">
        <v>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13">
        <f ca="1">NOW()</f>
        <v>42991.085324189815</v>
      </c>
    </row>
    <row r="2" spans="1:15" s="2" customFormat="1" ht="25.5" x14ac:dyDescent="0.2">
      <c r="A2" s="4" t="s">
        <v>0</v>
      </c>
      <c r="B2" s="4" t="s">
        <v>2</v>
      </c>
      <c r="C2" s="4" t="s">
        <v>255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248</v>
      </c>
      <c r="M2" s="14" t="s">
        <v>249</v>
      </c>
      <c r="N2" s="14" t="s">
        <v>14</v>
      </c>
    </row>
    <row r="3" spans="1:15" x14ac:dyDescent="0.2">
      <c r="A3" s="25" t="s">
        <v>264</v>
      </c>
      <c r="B3" s="25" t="str">
        <f t="shared" ref="B3:B66" si="0">IF(A3="","",IF(K3&gt;L3,"CONTATO COM O CLIENTE",IF(E3="","NÃO CHEGOU",IF(M3="",IF(K3&gt;$N$1,"AGUARDANDO NO LABORATORIO","ATRASADO"),"FINALIZADO"))))</f>
        <v>NÃO CHEGOU</v>
      </c>
      <c r="C3" s="25" t="s">
        <v>262</v>
      </c>
      <c r="D3" s="26" t="s">
        <v>265</v>
      </c>
      <c r="E3" s="27" t="s">
        <v>261</v>
      </c>
      <c r="F3" s="25" t="s">
        <v>17</v>
      </c>
      <c r="G3" s="28">
        <v>4.1666666666666664E-2</v>
      </c>
      <c r="H3" s="25" t="s">
        <v>241</v>
      </c>
      <c r="I3" s="25" t="s">
        <v>231</v>
      </c>
      <c r="J3" s="29">
        <v>42991.083333333336</v>
      </c>
      <c r="K3" s="11">
        <f t="shared" ref="K3:K67" si="1">IF(A3="","",J3+G3)</f>
        <v>42991.125</v>
      </c>
      <c r="L3" s="30">
        <v>42999</v>
      </c>
      <c r="M3" s="25"/>
      <c r="N3" s="25"/>
      <c r="O3" s="12"/>
    </row>
    <row r="4" spans="1:15" x14ac:dyDescent="0.2">
      <c r="A4" s="25" t="s">
        <v>266</v>
      </c>
      <c r="B4" s="25" t="str">
        <f t="shared" si="0"/>
        <v>NÃO CHEGOU</v>
      </c>
      <c r="C4" s="25" t="s">
        <v>262</v>
      </c>
      <c r="D4" s="26" t="s">
        <v>267</v>
      </c>
      <c r="E4" s="27" t="s">
        <v>261</v>
      </c>
      <c r="F4" s="25" t="s">
        <v>16</v>
      </c>
      <c r="G4" s="28">
        <v>4.1666666666666664E-2</v>
      </c>
      <c r="H4" s="25" t="s">
        <v>241</v>
      </c>
      <c r="I4" s="25" t="s">
        <v>231</v>
      </c>
      <c r="J4" s="29">
        <v>42991.333333333336</v>
      </c>
      <c r="K4" s="11">
        <f t="shared" si="1"/>
        <v>42991.375</v>
      </c>
      <c r="L4" s="30">
        <v>42999</v>
      </c>
      <c r="M4" s="25"/>
      <c r="N4" s="25"/>
    </row>
    <row r="5" spans="1:15" x14ac:dyDescent="0.2">
      <c r="A5" s="25"/>
      <c r="B5" s="25" t="str">
        <f>IF(A5="","",IF(K5&gt;L5,"CONTATO COM O CLIENTE",IF(E5="","NÃO CHEGOU",IF(M5="",IF(K5&gt;$N$1,"AGUARDANDO NO LABORATORIO","ATRASADO"),"FINALIZADO"))))</f>
        <v/>
      </c>
      <c r="C5" s="25"/>
      <c r="D5" s="26"/>
      <c r="E5" s="27"/>
      <c r="F5" s="25"/>
      <c r="G5" s="28"/>
      <c r="H5" s="25"/>
      <c r="I5" s="25"/>
      <c r="J5" s="29"/>
      <c r="K5" s="11" t="str">
        <f t="shared" si="1"/>
        <v/>
      </c>
      <c r="L5" s="30"/>
      <c r="M5" s="25"/>
      <c r="N5" s="25"/>
    </row>
    <row r="6" spans="1:15" x14ac:dyDescent="0.2">
      <c r="A6" s="25"/>
      <c r="B6" s="25" t="str">
        <f t="shared" si="0"/>
        <v/>
      </c>
      <c r="C6" s="25"/>
      <c r="D6" s="26"/>
      <c r="E6" s="26"/>
      <c r="F6" s="25"/>
      <c r="G6" s="28"/>
      <c r="H6" s="25"/>
      <c r="I6" s="25"/>
      <c r="J6" s="29"/>
      <c r="K6" s="11" t="str">
        <f t="shared" si="1"/>
        <v/>
      </c>
      <c r="L6" s="30"/>
      <c r="M6" s="25"/>
      <c r="N6" s="25"/>
    </row>
    <row r="7" spans="1:15" x14ac:dyDescent="0.2">
      <c r="A7" s="25"/>
      <c r="B7" s="25" t="str">
        <f t="shared" si="0"/>
        <v/>
      </c>
      <c r="C7" s="25"/>
      <c r="D7" s="26"/>
      <c r="E7" s="26"/>
      <c r="F7" s="25"/>
      <c r="G7" s="28"/>
      <c r="H7" s="25"/>
      <c r="I7" s="25"/>
      <c r="J7" s="29"/>
      <c r="K7" s="11" t="str">
        <f t="shared" si="1"/>
        <v/>
      </c>
      <c r="L7" s="30"/>
      <c r="M7" s="25"/>
      <c r="N7" s="25"/>
    </row>
    <row r="8" spans="1:15" x14ac:dyDescent="0.2">
      <c r="A8" s="25"/>
      <c r="B8" s="25" t="str">
        <f t="shared" si="0"/>
        <v/>
      </c>
      <c r="C8" s="25"/>
      <c r="D8" s="26"/>
      <c r="E8" s="26"/>
      <c r="F8" s="25"/>
      <c r="G8" s="28"/>
      <c r="H8" s="25"/>
      <c r="I8" s="25"/>
      <c r="J8" s="29"/>
      <c r="K8" s="11" t="str">
        <f t="shared" si="1"/>
        <v/>
      </c>
      <c r="L8" s="30"/>
      <c r="M8" s="25"/>
      <c r="N8" s="25"/>
    </row>
    <row r="9" spans="1:15" x14ac:dyDescent="0.2">
      <c r="A9" s="25"/>
      <c r="B9" s="25" t="str">
        <f t="shared" si="0"/>
        <v/>
      </c>
      <c r="C9" s="25"/>
      <c r="D9" s="26"/>
      <c r="E9" s="26"/>
      <c r="F9" s="25"/>
      <c r="G9" s="28"/>
      <c r="H9" s="25"/>
      <c r="I9" s="25"/>
      <c r="J9" s="29"/>
      <c r="K9" s="11" t="str">
        <f t="shared" si="1"/>
        <v/>
      </c>
      <c r="L9" s="30"/>
      <c r="M9" s="25"/>
      <c r="N9" s="25"/>
    </row>
    <row r="10" spans="1:15" x14ac:dyDescent="0.2">
      <c r="B10" t="str">
        <f t="shared" si="0"/>
        <v/>
      </c>
      <c r="J10" s="11"/>
      <c r="K10" s="11" t="str">
        <f t="shared" si="1"/>
        <v/>
      </c>
    </row>
    <row r="11" spans="1:15" x14ac:dyDescent="0.2">
      <c r="B11" t="str">
        <f t="shared" si="0"/>
        <v/>
      </c>
      <c r="J11" s="11"/>
      <c r="K11" s="11" t="str">
        <f t="shared" si="1"/>
        <v/>
      </c>
    </row>
    <row r="12" spans="1:15" x14ac:dyDescent="0.2">
      <c r="B12" t="str">
        <f t="shared" si="0"/>
        <v/>
      </c>
      <c r="J12" s="11"/>
      <c r="K12" s="11" t="str">
        <f t="shared" si="1"/>
        <v/>
      </c>
    </row>
    <row r="13" spans="1:15" x14ac:dyDescent="0.2">
      <c r="B13" t="str">
        <f t="shared" si="0"/>
        <v/>
      </c>
      <c r="J13" s="11"/>
      <c r="K13" s="11" t="str">
        <f t="shared" si="1"/>
        <v/>
      </c>
    </row>
    <row r="14" spans="1:15" x14ac:dyDescent="0.2">
      <c r="B14" t="str">
        <f t="shared" si="0"/>
        <v/>
      </c>
      <c r="J14" s="11"/>
      <c r="K14" s="11" t="str">
        <f t="shared" si="1"/>
        <v/>
      </c>
    </row>
    <row r="15" spans="1:15" x14ac:dyDescent="0.2">
      <c r="B15" t="str">
        <f t="shared" si="0"/>
        <v/>
      </c>
      <c r="J15" s="11"/>
      <c r="K15" s="11" t="str">
        <f t="shared" si="1"/>
        <v/>
      </c>
    </row>
    <row r="16" spans="1:15" x14ac:dyDescent="0.2">
      <c r="B16" t="str">
        <f t="shared" si="0"/>
        <v/>
      </c>
      <c r="J16" s="11"/>
      <c r="K16" s="11" t="str">
        <f t="shared" si="1"/>
        <v/>
      </c>
    </row>
    <row r="17" spans="2:11" x14ac:dyDescent="0.2">
      <c r="B17" t="str">
        <f t="shared" si="0"/>
        <v/>
      </c>
      <c r="J17" s="11"/>
      <c r="K17" s="11" t="str">
        <f t="shared" si="1"/>
        <v/>
      </c>
    </row>
    <row r="18" spans="2:11" x14ac:dyDescent="0.2">
      <c r="B18" t="str">
        <f t="shared" si="0"/>
        <v/>
      </c>
      <c r="J18" s="11"/>
      <c r="K18" s="11" t="str">
        <f t="shared" si="1"/>
        <v/>
      </c>
    </row>
    <row r="19" spans="2:11" x14ac:dyDescent="0.2">
      <c r="B19" t="str">
        <f t="shared" si="0"/>
        <v/>
      </c>
      <c r="J19" s="11"/>
      <c r="K19" s="11" t="str">
        <f t="shared" si="1"/>
        <v/>
      </c>
    </row>
    <row r="20" spans="2:11" x14ac:dyDescent="0.2">
      <c r="B20" t="str">
        <f t="shared" si="0"/>
        <v/>
      </c>
      <c r="J20" s="11"/>
      <c r="K20" s="11" t="str">
        <f t="shared" si="1"/>
        <v/>
      </c>
    </row>
    <row r="21" spans="2:11" x14ac:dyDescent="0.2">
      <c r="B21" t="str">
        <f t="shared" si="0"/>
        <v/>
      </c>
      <c r="J21" s="11"/>
      <c r="K21" s="11" t="str">
        <f t="shared" si="1"/>
        <v/>
      </c>
    </row>
    <row r="22" spans="2:11" x14ac:dyDescent="0.2">
      <c r="B22" t="str">
        <f t="shared" si="0"/>
        <v/>
      </c>
      <c r="J22" s="11"/>
      <c r="K22" s="11" t="str">
        <f t="shared" si="1"/>
        <v/>
      </c>
    </row>
    <row r="23" spans="2:11" x14ac:dyDescent="0.2">
      <c r="B23" t="str">
        <f t="shared" si="0"/>
        <v/>
      </c>
      <c r="J23" s="11"/>
      <c r="K23" s="11" t="str">
        <f t="shared" si="1"/>
        <v/>
      </c>
    </row>
    <row r="24" spans="2:11" x14ac:dyDescent="0.2">
      <c r="B24" t="str">
        <f t="shared" si="0"/>
        <v/>
      </c>
      <c r="J24" s="11"/>
      <c r="K24" s="11" t="str">
        <f t="shared" si="1"/>
        <v/>
      </c>
    </row>
    <row r="25" spans="2:11" x14ac:dyDescent="0.2">
      <c r="B25" t="str">
        <f t="shared" si="0"/>
        <v/>
      </c>
      <c r="J25" s="11"/>
      <c r="K25" s="11" t="str">
        <f t="shared" si="1"/>
        <v/>
      </c>
    </row>
    <row r="26" spans="2:11" x14ac:dyDescent="0.2">
      <c r="B26" t="str">
        <f t="shared" si="0"/>
        <v/>
      </c>
      <c r="J26" s="11"/>
      <c r="K26" s="11" t="str">
        <f t="shared" si="1"/>
        <v/>
      </c>
    </row>
    <row r="27" spans="2:11" x14ac:dyDescent="0.2">
      <c r="B27" t="str">
        <f t="shared" si="0"/>
        <v/>
      </c>
      <c r="J27" s="11"/>
      <c r="K27" s="11" t="str">
        <f t="shared" si="1"/>
        <v/>
      </c>
    </row>
    <row r="28" spans="2:11" x14ac:dyDescent="0.2">
      <c r="B28" t="str">
        <f t="shared" si="0"/>
        <v/>
      </c>
      <c r="J28" s="11"/>
      <c r="K28" s="11" t="str">
        <f t="shared" si="1"/>
        <v/>
      </c>
    </row>
    <row r="29" spans="2:11" x14ac:dyDescent="0.2">
      <c r="B29" t="str">
        <f t="shared" si="0"/>
        <v/>
      </c>
      <c r="J29" s="11"/>
      <c r="K29" s="11" t="str">
        <f t="shared" si="1"/>
        <v/>
      </c>
    </row>
    <row r="30" spans="2:11" x14ac:dyDescent="0.2">
      <c r="B30" t="str">
        <f t="shared" si="0"/>
        <v/>
      </c>
      <c r="J30" s="11"/>
      <c r="K30" s="11" t="str">
        <f t="shared" si="1"/>
        <v/>
      </c>
    </row>
    <row r="31" spans="2:11" x14ac:dyDescent="0.2">
      <c r="B31" t="str">
        <f t="shared" si="0"/>
        <v/>
      </c>
      <c r="J31" s="11"/>
      <c r="K31" s="11" t="str">
        <f t="shared" si="1"/>
        <v/>
      </c>
    </row>
    <row r="32" spans="2:11" x14ac:dyDescent="0.2">
      <c r="B32" t="str">
        <f t="shared" si="0"/>
        <v/>
      </c>
      <c r="J32" s="11"/>
      <c r="K32" s="11" t="str">
        <f t="shared" si="1"/>
        <v/>
      </c>
    </row>
    <row r="33" spans="2:11" x14ac:dyDescent="0.2">
      <c r="B33" t="str">
        <f t="shared" si="0"/>
        <v/>
      </c>
      <c r="J33" s="11"/>
      <c r="K33" s="11" t="str">
        <f t="shared" si="1"/>
        <v/>
      </c>
    </row>
    <row r="34" spans="2:11" x14ac:dyDescent="0.2">
      <c r="B34" t="str">
        <f t="shared" si="0"/>
        <v/>
      </c>
      <c r="J34" s="11"/>
      <c r="K34" s="11" t="str">
        <f t="shared" si="1"/>
        <v/>
      </c>
    </row>
    <row r="35" spans="2:11" x14ac:dyDescent="0.2">
      <c r="B35" t="str">
        <f t="shared" si="0"/>
        <v/>
      </c>
      <c r="J35" s="11"/>
      <c r="K35" s="11" t="str">
        <f t="shared" si="1"/>
        <v/>
      </c>
    </row>
    <row r="36" spans="2:11" x14ac:dyDescent="0.2">
      <c r="B36" t="str">
        <f t="shared" si="0"/>
        <v/>
      </c>
      <c r="J36" s="11"/>
      <c r="K36" s="11" t="str">
        <f t="shared" si="1"/>
        <v/>
      </c>
    </row>
    <row r="37" spans="2:11" x14ac:dyDescent="0.2">
      <c r="B37" t="str">
        <f t="shared" si="0"/>
        <v/>
      </c>
      <c r="J37" s="11"/>
      <c r="K37" s="11" t="str">
        <f t="shared" si="1"/>
        <v/>
      </c>
    </row>
    <row r="38" spans="2:11" x14ac:dyDescent="0.2">
      <c r="B38" t="str">
        <f t="shared" si="0"/>
        <v/>
      </c>
      <c r="J38" s="11"/>
      <c r="K38" s="11" t="str">
        <f t="shared" si="1"/>
        <v/>
      </c>
    </row>
    <row r="39" spans="2:11" x14ac:dyDescent="0.2">
      <c r="B39" t="str">
        <f t="shared" si="0"/>
        <v/>
      </c>
      <c r="J39" s="11"/>
      <c r="K39" s="11" t="str">
        <f t="shared" si="1"/>
        <v/>
      </c>
    </row>
    <row r="40" spans="2:11" x14ac:dyDescent="0.2">
      <c r="B40" t="str">
        <f t="shared" si="0"/>
        <v/>
      </c>
      <c r="J40" s="11"/>
      <c r="K40" s="11" t="str">
        <f t="shared" si="1"/>
        <v/>
      </c>
    </row>
    <row r="41" spans="2:11" x14ac:dyDescent="0.2">
      <c r="B41" t="str">
        <f t="shared" si="0"/>
        <v/>
      </c>
      <c r="J41" s="11"/>
      <c r="K41" s="11" t="str">
        <f t="shared" si="1"/>
        <v/>
      </c>
    </row>
    <row r="42" spans="2:11" x14ac:dyDescent="0.2">
      <c r="B42" t="str">
        <f t="shared" si="0"/>
        <v/>
      </c>
      <c r="J42" s="11"/>
      <c r="K42" s="11" t="str">
        <f t="shared" si="1"/>
        <v/>
      </c>
    </row>
    <row r="43" spans="2:11" x14ac:dyDescent="0.2">
      <c r="B43" t="str">
        <f t="shared" si="0"/>
        <v/>
      </c>
      <c r="J43" s="11"/>
      <c r="K43" s="11" t="str">
        <f t="shared" si="1"/>
        <v/>
      </c>
    </row>
    <row r="44" spans="2:11" x14ac:dyDescent="0.2">
      <c r="B44" t="str">
        <f t="shared" si="0"/>
        <v/>
      </c>
      <c r="J44" s="11"/>
      <c r="K44" s="11" t="str">
        <f t="shared" si="1"/>
        <v/>
      </c>
    </row>
    <row r="45" spans="2:11" x14ac:dyDescent="0.2">
      <c r="B45" t="str">
        <f t="shared" si="0"/>
        <v/>
      </c>
      <c r="J45" s="11"/>
      <c r="K45" s="11" t="str">
        <f t="shared" si="1"/>
        <v/>
      </c>
    </row>
    <row r="46" spans="2:11" x14ac:dyDescent="0.2">
      <c r="B46" t="str">
        <f t="shared" si="0"/>
        <v/>
      </c>
      <c r="J46" s="11"/>
      <c r="K46" s="11" t="str">
        <f t="shared" si="1"/>
        <v/>
      </c>
    </row>
    <row r="47" spans="2:11" x14ac:dyDescent="0.2">
      <c r="B47" t="str">
        <f t="shared" si="0"/>
        <v/>
      </c>
      <c r="J47" s="11"/>
      <c r="K47" s="11" t="str">
        <f t="shared" si="1"/>
        <v/>
      </c>
    </row>
    <row r="48" spans="2:11" x14ac:dyDescent="0.2">
      <c r="B48" t="str">
        <f t="shared" si="0"/>
        <v/>
      </c>
      <c r="J48" s="11"/>
      <c r="K48" s="11" t="str">
        <f t="shared" si="1"/>
        <v/>
      </c>
    </row>
    <row r="49" spans="2:11" x14ac:dyDescent="0.2">
      <c r="B49" t="str">
        <f t="shared" si="0"/>
        <v/>
      </c>
      <c r="J49" s="11"/>
      <c r="K49" s="11" t="str">
        <f t="shared" si="1"/>
        <v/>
      </c>
    </row>
    <row r="50" spans="2:11" x14ac:dyDescent="0.2">
      <c r="B50" t="str">
        <f t="shared" si="0"/>
        <v/>
      </c>
      <c r="J50" s="11"/>
      <c r="K50" s="11" t="str">
        <f t="shared" si="1"/>
        <v/>
      </c>
    </row>
    <row r="51" spans="2:11" x14ac:dyDescent="0.2">
      <c r="B51" t="str">
        <f t="shared" si="0"/>
        <v/>
      </c>
      <c r="J51" s="11"/>
      <c r="K51" s="11" t="str">
        <f t="shared" si="1"/>
        <v/>
      </c>
    </row>
    <row r="52" spans="2:11" x14ac:dyDescent="0.2">
      <c r="B52" t="str">
        <f t="shared" si="0"/>
        <v/>
      </c>
      <c r="J52" s="11"/>
      <c r="K52" s="11" t="str">
        <f t="shared" si="1"/>
        <v/>
      </c>
    </row>
    <row r="53" spans="2:11" x14ac:dyDescent="0.2">
      <c r="B53" t="str">
        <f t="shared" si="0"/>
        <v/>
      </c>
      <c r="J53" s="11"/>
      <c r="K53" s="11" t="str">
        <f t="shared" si="1"/>
        <v/>
      </c>
    </row>
    <row r="54" spans="2:11" x14ac:dyDescent="0.2">
      <c r="B54" t="str">
        <f t="shared" si="0"/>
        <v/>
      </c>
      <c r="J54" s="11"/>
      <c r="K54" s="11" t="str">
        <f t="shared" si="1"/>
        <v/>
      </c>
    </row>
    <row r="55" spans="2:11" x14ac:dyDescent="0.2">
      <c r="B55" t="str">
        <f t="shared" si="0"/>
        <v/>
      </c>
      <c r="J55" s="11"/>
      <c r="K55" s="11" t="str">
        <f t="shared" si="1"/>
        <v/>
      </c>
    </row>
    <row r="56" spans="2:11" x14ac:dyDescent="0.2">
      <c r="B56" t="str">
        <f t="shared" si="0"/>
        <v/>
      </c>
      <c r="J56" s="11"/>
      <c r="K56" s="11" t="str">
        <f t="shared" si="1"/>
        <v/>
      </c>
    </row>
    <row r="57" spans="2:11" x14ac:dyDescent="0.2">
      <c r="B57" t="str">
        <f t="shared" si="0"/>
        <v/>
      </c>
      <c r="J57" s="11"/>
      <c r="K57" s="11" t="str">
        <f t="shared" si="1"/>
        <v/>
      </c>
    </row>
    <row r="58" spans="2:11" x14ac:dyDescent="0.2">
      <c r="B58" t="str">
        <f t="shared" si="0"/>
        <v/>
      </c>
      <c r="J58" s="11"/>
      <c r="K58" s="11" t="str">
        <f t="shared" si="1"/>
        <v/>
      </c>
    </row>
    <row r="59" spans="2:11" x14ac:dyDescent="0.2">
      <c r="B59" t="str">
        <f t="shared" si="0"/>
        <v/>
      </c>
      <c r="J59" s="11"/>
      <c r="K59" s="11" t="str">
        <f t="shared" si="1"/>
        <v/>
      </c>
    </row>
    <row r="60" spans="2:11" x14ac:dyDescent="0.2">
      <c r="B60" t="str">
        <f t="shared" si="0"/>
        <v/>
      </c>
      <c r="J60" s="11"/>
      <c r="K60" s="11" t="str">
        <f t="shared" si="1"/>
        <v/>
      </c>
    </row>
    <row r="61" spans="2:11" x14ac:dyDescent="0.2">
      <c r="B61" t="str">
        <f t="shared" si="0"/>
        <v/>
      </c>
      <c r="J61" s="11"/>
      <c r="K61" s="11" t="str">
        <f t="shared" si="1"/>
        <v/>
      </c>
    </row>
    <row r="62" spans="2:11" x14ac:dyDescent="0.2">
      <c r="B62" t="str">
        <f t="shared" si="0"/>
        <v/>
      </c>
      <c r="J62" s="11"/>
      <c r="K62" s="11" t="str">
        <f t="shared" si="1"/>
        <v/>
      </c>
    </row>
    <row r="63" spans="2:11" x14ac:dyDescent="0.2">
      <c r="B63" t="str">
        <f t="shared" si="0"/>
        <v/>
      </c>
      <c r="J63" s="11"/>
      <c r="K63" s="11" t="str">
        <f t="shared" si="1"/>
        <v/>
      </c>
    </row>
    <row r="64" spans="2:11" x14ac:dyDescent="0.2">
      <c r="B64" t="str">
        <f t="shared" si="0"/>
        <v/>
      </c>
      <c r="J64" s="11"/>
      <c r="K64" s="11" t="str">
        <f t="shared" si="1"/>
        <v/>
      </c>
    </row>
    <row r="65" spans="2:11" x14ac:dyDescent="0.2">
      <c r="B65" t="str">
        <f t="shared" si="0"/>
        <v/>
      </c>
      <c r="J65" s="11"/>
      <c r="K65" s="11" t="str">
        <f t="shared" si="1"/>
        <v/>
      </c>
    </row>
    <row r="66" spans="2:11" x14ac:dyDescent="0.2">
      <c r="B66" t="str">
        <f t="shared" si="0"/>
        <v/>
      </c>
      <c r="J66" s="11"/>
      <c r="K66" s="11" t="str">
        <f t="shared" si="1"/>
        <v/>
      </c>
    </row>
    <row r="67" spans="2:11" x14ac:dyDescent="0.2">
      <c r="B67" t="str">
        <f t="shared" ref="B67:B130" si="2">IF(A67="","",IF(K67&gt;L67,"CONTATO COM O CLIENTE",IF(E67="","NÃO CHEGOU",IF(M67="",IF(K67&gt;$N$1,"AGUARDANDO NO LABORATORIO","ATRASADO"),"FINALIZADO"))))</f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ref="B131:B194" si="4">IF(A131="","",IF(K131&gt;L131,"CONTATO COM O CLIENTE",IF(E131="","NÃO CHEGOU",IF(M131="",IF(K131&gt;$N$1,"AGUARDANDO NO LABORATORIO","ATRASADO"),"FINALIZADO"))))</f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ref="B195:B258" si="6">IF(A195="","",IF(K195&gt;L195,"CONTATO COM O CLIENTE",IF(E195="","NÃO CHEGOU",IF(M195="",IF(K195&gt;$N$1,"AGUARDANDO NO LABORATORIO","ATRASADO"),"FINALIZADO"))))</f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ref="B259:B322" si="8">IF(A259="","",IF(K259&gt;L259,"CONTATO COM O CLIENTE",IF(E259="","NÃO CHEGOU",IF(M259="",IF(K259&gt;$N$1,"AGUARDANDO NO LABORATORIO","ATRASADO"),"FINALIZADO"))))</f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ref="B323:B386" si="10">IF(A323="","",IF(K323&gt;L323,"CONTATO COM O CLIENTE",IF(E323="","NÃO CHEGOU",IF(M323="",IF(K323&gt;$N$1,"AGUARDANDO NO LABORATORIO","ATRASADO"),"FINALIZADO"))))</f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ref="B387:B450" si="12">IF(A387="","",IF(K387&gt;L387,"CONTATO COM O CLIENTE",IF(E387="","NÃO CHEGOU",IF(M387="",IF(K387&gt;$N$1,"AGUARDANDO NO LABORATORIO","ATRASADO"),"FINALIZADO"))))</f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ref="B451:B514" si="14">IF(A451="","",IF(K451&gt;L451,"CONTATO COM O CLIENTE",IF(E451="","NÃO CHEGOU",IF(M451="",IF(K451&gt;$N$1,"AGUARDANDO NO LABORATORIO","ATRASADO"),"FINALIZADO"))))</f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ref="B515:B578" si="16">IF(A515="","",IF(K515&gt;L515,"CONTATO COM O CLIENTE",IF(E515="","NÃO CHEGOU",IF(M515="",IF(K515&gt;$N$1,"AGUARDANDO NO LABORATORIO","ATRASADO"),"FINALIZADO"))))</f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ref="B579:B642" si="18">IF(A579="","",IF(K579&gt;L579,"CONTATO COM O CLIENTE",IF(E579="","NÃO CHEGOU",IF(M579="",IF(K579&gt;$N$1,"AGUARDANDO NO LABORATORIO","ATRASADO"),"FINALIZADO"))))</f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ref="B643:B706" si="20">IF(A643="","",IF(K643&gt;L643,"CONTATO COM O CLIENTE",IF(E643="","NÃO CHEGOU",IF(M643="",IF(K643&gt;$N$1,"AGUARDANDO NO LABORATORIO","ATRASADO"),"FINALIZADO"))))</f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ref="B707:B770" si="22">IF(A707="","",IF(K707&gt;L707,"CONTATO COM O CLIENTE",IF(E707="","NÃO CHEGOU",IF(M707="",IF(K707&gt;$N$1,"AGUARDANDO NO LABORATORIO","ATRASADO"),"FINALIZADO"))))</f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ref="B771:B834" si="24">IF(A771="","",IF(K771&gt;L771,"CONTATO COM O CLIENTE",IF(E771="","NÃO CHEGOU",IF(M771="",IF(K771&gt;$N$1,"AGUARDANDO NO LABORATORIO","ATRASADO"),"FINALIZADO"))))</f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ref="B835:B898" si="26">IF(A835="","",IF(K835&gt;L835,"CONTATO COM O CLIENTE",IF(E835="","NÃO CHEGOU",IF(M835="",IF(K835&gt;$N$1,"AGUARDANDO NO LABORATORIO","ATRASADO"),"FINALIZADO"))))</f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ref="B899:B962" si="28">IF(A899="","",IF(K899&gt;L899,"CONTATO COM O CLIENTE",IF(E899="","NÃO CHEGOU",IF(M899="",IF(K899&gt;$N$1,"AGUARDANDO NO LABORATORIO","ATRASADO"),"FINALIZADO"))))</f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ref="B963:B1026" si="30">IF(A963="","",IF(K963&gt;L963,"CONTATO COM O CLIENTE",IF(E963="","NÃO CHEGOU",IF(M963="",IF(K963&gt;$N$1,"AGUARDANDO NO LABORATORIO","ATRASADO"),"FINALIZADO"))))</f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ref="B1027:B1090" si="32">IF(A1027="","",IF(K1027&gt;L1027,"CONTATO COM O CLIENTE",IF(E1027="","NÃO CHEGOU",IF(M1027="",IF(K1027&gt;$N$1,"AGUARDANDO NO LABORATORIO","ATRASADO"),"FINALIZADO"))))</f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ref="B1091:B1154" si="34">IF(A1091="","",IF(K1091&gt;L1091,"CONTATO COM O CLIENTE",IF(E1091="","NÃO CHEGOU",IF(M1091="",IF(K1091&gt;$N$1,"AGUARDANDO NO LABORATORIO","ATRASADO"),"FINALIZADO"))))</f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ref="B1155:B1218" si="36">IF(A1155="","",IF(K1155&gt;L1155,"CONTATO COM O CLIENTE",IF(E1155="","NÃO CHEGOU",IF(M1155="",IF(K1155&gt;$N$1,"AGUARDANDO NO LABORATORIO","ATRASADO"),"FINALIZADO"))))</f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ref="B1219:B1282" si="38">IF(A1219="","",IF(K1219&gt;L1219,"CONTATO COM O CLIENTE",IF(E1219="","NÃO CHEGOU",IF(M1219="",IF(K1219&gt;$N$1,"AGUARDANDO NO LABORATORIO","ATRASADO"),"FINALIZADO"))))</f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ref="B1283:B1346" si="40">IF(A1283="","",IF(K1283&gt;L1283,"CONTATO COM O CLIENTE",IF(E1283="","NÃO CHEGOU",IF(M1283="",IF(K1283&gt;$N$1,"AGUARDANDO NO LABORATORIO","ATRASADO"),"FINALIZADO"))))</f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ref="B1347:B1410" si="42">IF(A1347="","",IF(K1347&gt;L1347,"CONTATO COM O CLIENTE",IF(E1347="","NÃO CHEGOU",IF(M1347="",IF(K1347&gt;$N$1,"AGUARDANDO NO LABORATORIO","ATRASADO"),"FINALIZADO"))))</f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ref="B1411:B1474" si="44">IF(A1411="","",IF(K1411&gt;L1411,"CONTATO COM O CLIENTE",IF(E1411="","NÃO CHEGOU",IF(M1411="",IF(K1411&gt;$N$1,"AGUARDANDO NO LABORATORIO","ATRASADO"),"FINALIZADO"))))</f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ref="B1475:B1538" si="46">IF(A1475="","",IF(K1475&gt;L1475,"CONTATO COM O CLIENTE",IF(E1475="","NÃO CHEGOU",IF(M1475="",IF(K1475&gt;$N$1,"AGUARDANDO NO LABORATORIO","ATRASADO"),"FINALIZADO"))))</f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ref="B1539:B1602" si="48">IF(A1539="","",IF(K1539&gt;L1539,"CONTATO COM O CLIENTE",IF(E1539="","NÃO CHEGOU",IF(M1539="",IF(K1539&gt;$N$1,"AGUARDANDO NO LABORATORIO","ATRASADO"),"FINALIZADO"))))</f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ref="B1603:B1666" si="50">IF(A1603="","",IF(K1603&gt;L1603,"CONTATO COM O CLIENTE",IF(E1603="","NÃO CHEGOU",IF(M1603="",IF(K1603&gt;$N$1,"AGUARDANDO NO LABORATORIO","ATRASADO"),"FINALIZADO"))))</f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ref="B1667:B1730" si="52">IF(A1667="","",IF(K1667&gt;L1667,"CONTATO COM O CLIENTE",IF(E1667="","NÃO CHEGOU",IF(M1667="",IF(K1667&gt;$N$1,"AGUARDANDO NO LABORATORIO","ATRASADO"),"FINALIZADO"))))</f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ref="B1731:B1794" si="54">IF(A1731="","",IF(K1731&gt;L1731,"CONTATO COM O CLIENTE",IF(E1731="","NÃO CHEGOU",IF(M1731="",IF(K1731&gt;$N$1,"AGUARDANDO NO LABORATORIO","ATRASADO"),"FINALIZADO"))))</f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ref="B1795:B1858" si="56">IF(A1795="","",IF(K1795&gt;L1795,"CONTATO COM O CLIENTE",IF(E1795="","NÃO CHEGOU",IF(M1795="",IF(K1795&gt;$N$1,"AGUARDANDO NO LABORATORIO","ATRASADO"),"FINALIZADO"))))</f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ref="B1859:B1922" si="58">IF(A1859="","",IF(K1859&gt;L1859,"CONTATO COM O CLIENTE",IF(E1859="","NÃO CHEGOU",IF(M1859="",IF(K1859&gt;$N$1,"AGUARDANDO NO LABORATORIO","ATRASADO"),"FINALIZADO"))))</f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ref="B1923:B1986" si="60">IF(A1923="","",IF(K1923&gt;L1923,"CONTATO COM O CLIENTE",IF(E1923="","NÃO CHEGOU",IF(M1923="",IF(K1923&gt;$N$1,"AGUARDANDO NO LABORATORIO","ATRASADO"),"FINALIZADO"))))</f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ref="B1987:B2050" si="62">IF(A1987="","",IF(K1987&gt;L1987,"CONTATO COM O CLIENTE",IF(E1987="","NÃO CHEGOU",IF(M1987="",IF(K1987&gt;$N$1,"AGUARDANDO NO LABORATORIO","ATRASADO"),"FINALIZADO"))))</f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ref="B2051:B2114" si="64">IF(A2051="","",IF(K2051&gt;L2051,"CONTATO COM O CLIENTE",IF(E2051="","NÃO CHEGOU",IF(M2051="",IF(K2051&gt;$N$1,"AGUARDANDO NO LABORATORIO","ATRASADO"),"FINALIZADO"))))</f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ref="B2115:B2178" si="66">IF(A2115="","",IF(K2115&gt;L2115,"CONTATO COM O CLIENTE",IF(E2115="","NÃO CHEGOU",IF(M2115="",IF(K2115&gt;$N$1,"AGUARDANDO NO LABORATORIO","ATRASADO"),"FINALIZADO"))))</f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ref="B2179:B2242" si="68">IF(A2179="","",IF(K2179&gt;L2179,"CONTATO COM O CLIENTE",IF(E2179="","NÃO CHEGOU",IF(M2179="",IF(K2179&gt;$N$1,"AGUARDANDO NO LABORATORIO","ATRASADO"),"FINALIZADO"))))</f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ref="B2243:B2306" si="70">IF(A2243="","",IF(K2243&gt;L2243,"CONTATO COM O CLIENTE",IF(E2243="","NÃO CHEGOU",IF(M2243="",IF(K2243&gt;$N$1,"AGUARDANDO NO LABORATORIO","ATRASADO"),"FINALIZADO"))))</f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ref="B2307:B2370" si="72">IF(A2307="","",IF(K2307&gt;L2307,"CONTATO COM O CLIENTE",IF(E2307="","NÃO CHEGOU",IF(M2307="",IF(K2307&gt;$N$1,"AGUARDANDO NO LABORATORIO","ATRASADO"),"FINALIZADO"))))</f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ref="B2371:B2434" si="74">IF(A2371="","",IF(K2371&gt;L2371,"CONTATO COM O CLIENTE",IF(E2371="","NÃO CHEGOU",IF(M2371="",IF(K2371&gt;$N$1,"AGUARDANDO NO LABORATORIO","ATRASADO"),"FINALIZADO"))))</f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ref="B2435:B2498" si="76">IF(A2435="","",IF(K2435&gt;L2435,"CONTATO COM O CLIENTE",IF(E2435="","NÃO CHEGOU",IF(M2435="",IF(K2435&gt;$N$1,"AGUARDANDO NO LABORATORIO","ATRASADO"),"FINALIZADO"))))</f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ref="B2499:B2562" si="78">IF(A2499="","",IF(K2499&gt;L2499,"CONTATO COM O CLIENTE",IF(E2499="","NÃO CHEGOU",IF(M2499="",IF(K2499&gt;$N$1,"AGUARDANDO NO LABORATORIO","ATRASADO"),"FINALIZADO"))))</f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ref="B2563:B2626" si="80">IF(A2563="","",IF(K2563&gt;L2563,"CONTATO COM O CLIENTE",IF(E2563="","NÃO CHEGOU",IF(M2563="",IF(K2563&gt;$N$1,"AGUARDANDO NO LABORATORIO","ATRASADO"),"FINALIZADO"))))</f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ref="B2627:B2690" si="82">IF(A2627="","",IF(K2627&gt;L2627,"CONTATO COM O CLIENTE",IF(E2627="","NÃO CHEGOU",IF(M2627="",IF(K2627&gt;$N$1,"AGUARDANDO NO LABORATORIO","ATRASADO"),"FINALIZADO"))))</f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ref="B2691:B2754" si="84">IF(A2691="","",IF(K2691&gt;L2691,"CONTATO COM O CLIENTE",IF(E2691="","NÃO CHEGOU",IF(M2691="",IF(K2691&gt;$N$1,"AGUARDANDO NO LABORATORIO","ATRASADO"),"FINALIZADO"))))</f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ref="B2755:B2818" si="86">IF(A2755="","",IF(K2755&gt;L2755,"CONTATO COM O CLIENTE",IF(E2755="","NÃO CHEGOU",IF(M2755="",IF(K2755&gt;$N$1,"AGUARDANDO NO LABORATORIO","ATRASADO"),"FINALIZADO"))))</f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ref="B2819:B2882" si="88">IF(A2819="","",IF(K2819&gt;L2819,"CONTATO COM O CLIENTE",IF(E2819="","NÃO CHEGOU",IF(M2819="",IF(K2819&gt;$N$1,"AGUARDANDO NO LABORATORIO","ATRASADO"),"FINALIZADO"))))</f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ref="B2883:B2946" si="90">IF(A2883="","",IF(K2883&gt;L2883,"CONTATO COM O CLIENTE",IF(E2883="","NÃO CHEGOU",IF(M2883="",IF(K2883&gt;$N$1,"AGUARDANDO NO LABORATORIO","ATRASADO"),"FINALIZADO"))))</f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ref="B2947:B3010" si="92">IF(A2947="","",IF(K2947&gt;L2947,"CONTATO COM O CLIENTE",IF(E2947="","NÃO CHEGOU",IF(M2947="",IF(K2947&gt;$N$1,"AGUARDANDO NO LABORATORIO","ATRASADO"),"FINALIZADO"))))</f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ref="B3011:B3074" si="94">IF(A3011="","",IF(K3011&gt;L3011,"CONTATO COM O CLIENTE",IF(E3011="","NÃO CHEGOU",IF(M3011="",IF(K3011&gt;$N$1,"AGUARDANDO NO LABORATORIO","ATRASADO"),"FINALIZADO"))))</f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ref="B3075:B3138" si="96">IF(A3075="","",IF(K3075&gt;L3075,"CONTATO COM O CLIENTE",IF(E3075="","NÃO CHEGOU",IF(M3075="",IF(K3075&gt;$N$1,"AGUARDANDO NO LABORATORIO","ATRASADO"),"FINALIZADO"))))</f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ref="B3139:B3202" si="98">IF(A3139="","",IF(K3139&gt;L3139,"CONTATO COM O CLIENTE",IF(E3139="","NÃO CHEGOU",IF(M3139="",IF(K3139&gt;$N$1,"AGUARDANDO NO LABORATORIO","ATRASADO"),"FINALIZADO"))))</f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ref="B3203:B3266" si="100">IF(A3203="","",IF(K3203&gt;L3203,"CONTATO COM O CLIENTE",IF(E3203="","NÃO CHEGOU",IF(M3203="",IF(K3203&gt;$N$1,"AGUARDANDO NO LABORATORIO","ATRASADO"),"FINALIZADO"))))</f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ref="B3267:B3330" si="102">IF(A3267="","",IF(K3267&gt;L3267,"CONTATO COM O CLIENTE",IF(E3267="","NÃO CHEGOU",IF(M3267="",IF(K3267&gt;$N$1,"AGUARDANDO NO LABORATORIO","ATRASADO"),"FINALIZADO"))))</f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ref="B3331:B3394" si="104">IF(A3331="","",IF(K3331&gt;L3331,"CONTATO COM O CLIENTE",IF(E3331="","NÃO CHEGOU",IF(M3331="",IF(K3331&gt;$N$1,"AGUARDANDO NO LABORATORIO","ATRASADO"),"FINALIZADO"))))</f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ref="B3395:B3458" si="106">IF(A3395="","",IF(K3395&gt;L3395,"CONTATO COM O CLIENTE",IF(E3395="","NÃO CHEGOU",IF(M3395="",IF(K3395&gt;$N$1,"AGUARDANDO NO LABORATORIO","ATRASADO"),"FINALIZADO"))))</f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ref="B3459:B3522" si="108">IF(A3459="","",IF(K3459&gt;L3459,"CONTATO COM O CLIENTE",IF(E3459="","NÃO CHEGOU",IF(M3459="",IF(K3459&gt;$N$1,"AGUARDANDO NO LABORATORIO","ATRASADO"),"FINALIZADO"))))</f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ref="B3523:B3586" si="110">IF(A3523="","",IF(K3523&gt;L3523,"CONTATO COM O CLIENTE",IF(E3523="","NÃO CHEGOU",IF(M3523="",IF(K3523&gt;$N$1,"AGUARDANDO NO LABORATORIO","ATRASADO"),"FINALIZADO"))))</f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ref="B3587:B3650" si="112">IF(A3587="","",IF(K3587&gt;L3587,"CONTATO COM O CLIENTE",IF(E3587="","NÃO CHEGOU",IF(M3587="",IF(K3587&gt;$N$1,"AGUARDANDO NO LABORATORIO","ATRASADO"),"FINALIZADO"))))</f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ref="B3651:B3714" si="114">IF(A3651="","",IF(K3651&gt;L3651,"CONTATO COM O CLIENTE",IF(E3651="","NÃO CHEGOU",IF(M3651="",IF(K3651&gt;$N$1,"AGUARDANDO NO LABORATORIO","ATRASADO"),"FINALIZADO"))))</f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ref="B3715:B3778" si="116">IF(A3715="","",IF(K3715&gt;L3715,"CONTATO COM O CLIENTE",IF(E3715="","NÃO CHEGOU",IF(M3715="",IF(K3715&gt;$N$1,"AGUARDANDO NO LABORATORIO","ATRASADO"),"FINALIZADO"))))</f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ref="B3779:B3842" si="118">IF(A3779="","",IF(K3779&gt;L3779,"CONTATO COM O CLIENTE",IF(E3779="","NÃO CHEGOU",IF(M3779="",IF(K3779&gt;$N$1,"AGUARDANDO NO LABORATORIO","ATRASADO"),"FINALIZADO"))))</f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ref="B3843:B3906" si="120">IF(A3843="","",IF(K3843&gt;L3843,"CONTATO COM O CLIENTE",IF(E3843="","NÃO CHEGOU",IF(M3843="",IF(K3843&gt;$N$1,"AGUARDANDO NO LABORATORIO","ATRASADO"),"FINALIZADO"))))</f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ref="B3907:B3970" si="122">IF(A3907="","",IF(K3907&gt;L3907,"CONTATO COM O CLIENTE",IF(E3907="","NÃO CHEGOU",IF(M3907="",IF(K3907&gt;$N$1,"AGUARDANDO NO LABORATORIO","ATRASADO"),"FINALIZADO"))))</f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ref="B3971:B4034" si="124">IF(A3971="","",IF(K3971&gt;L3971,"CONTATO COM O CLIENTE",IF(E3971="","NÃO CHEGOU",IF(M3971="",IF(K3971&gt;$N$1,"AGUARDANDO NO LABORATORIO","ATRASADO"),"FINALIZADO"))))</f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ref="B4035:B4098" si="126">IF(A4035="","",IF(K4035&gt;L4035,"CONTATO COM O CLIENTE",IF(E4035="","NÃO CHEGOU",IF(M4035="",IF(K4035&gt;$N$1,"AGUARDANDO NO LABORATORIO","ATRASADO"),"FINALIZADO"))))</f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ref="B4099:B4162" si="128">IF(A4099="","",IF(K4099&gt;L4099,"CONTATO COM O CLIENTE",IF(E4099="","NÃO CHEGOU",IF(M4099="",IF(K4099&gt;$N$1,"AGUARDANDO NO LABORATORIO","ATRASADO"),"FINALIZADO"))))</f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ref="B4163:B4226" si="130">IF(A4163="","",IF(K4163&gt;L4163,"CONTATO COM O CLIENTE",IF(E4163="","NÃO CHEGOU",IF(M4163="",IF(K4163&gt;$N$1,"AGUARDANDO NO LABORATORIO","ATRASADO"),"FINALIZADO"))))</f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ref="B4227:B4290" si="132">IF(A4227="","",IF(K4227&gt;L4227,"CONTATO COM O CLIENTE",IF(E4227="","NÃO CHEGOU",IF(M4227="",IF(K4227&gt;$N$1,"AGUARDANDO NO LABORATORIO","ATRASADO"),"FINALIZADO"))))</f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ref="B4291:B4354" si="134">IF(A4291="","",IF(K4291&gt;L4291,"CONTATO COM O CLIENTE",IF(E4291="","NÃO CHEGOU",IF(M4291="",IF(K4291&gt;$N$1,"AGUARDANDO NO LABORATORIO","ATRASADO"),"FINALIZADO"))))</f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ref="B4355:B4418" si="136">IF(A4355="","",IF(K4355&gt;L4355,"CONTATO COM O CLIENTE",IF(E4355="","NÃO CHEGOU",IF(M4355="",IF(K4355&gt;$N$1,"AGUARDANDO NO LABORATORIO","ATRASADO"),"FINALIZADO"))))</f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ref="B4419:B4482" si="138">IF(A4419="","",IF(K4419&gt;L4419,"CONTATO COM O CLIENTE",IF(E4419="","NÃO CHEGOU",IF(M4419="",IF(K4419&gt;$N$1,"AGUARDANDO NO LABORATORIO","ATRASADO"),"FINALIZADO"))))</f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ref="B4483:B4546" si="140">IF(A4483="","",IF(K4483&gt;L4483,"CONTATO COM O CLIENTE",IF(E4483="","NÃO CHEGOU",IF(M4483="",IF(K4483&gt;$N$1,"AGUARDANDO NO LABORATORIO","ATRASADO"),"FINALIZADO"))))</f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ref="B4547:B4610" si="142">IF(A4547="","",IF(K4547&gt;L4547,"CONTATO COM O CLIENTE",IF(E4547="","NÃO CHEGOU",IF(M4547="",IF(K4547&gt;$N$1,"AGUARDANDO NO LABORATORIO","ATRASADO"),"FINALIZADO"))))</f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ref="B4611:B4674" si="144">IF(A4611="","",IF(K4611&gt;L4611,"CONTATO COM O CLIENTE",IF(E4611="","NÃO CHEGOU",IF(M4611="",IF(K4611&gt;$N$1,"AGUARDANDO NO LABORATORIO","ATRASADO"),"FINALIZADO"))))</f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ref="B4675:B4738" si="146">IF(A4675="","",IF(K4675&gt;L4675,"CONTATO COM O CLIENTE",IF(E4675="","NÃO CHEGOU",IF(M4675="",IF(K4675&gt;$N$1,"AGUARDANDO NO LABORATORIO","ATRASADO"),"FINALIZADO"))))</f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ref="B4739:B4802" si="148">IF(A4739="","",IF(K4739&gt;L4739,"CONTATO COM O CLIENTE",IF(E4739="","NÃO CHEGOU",IF(M4739="",IF(K4739&gt;$N$1,"AGUARDANDO NO LABORATORIO","ATRASADO"),"FINALIZADO"))))</f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ref="B4803:B4866" si="150">IF(A4803="","",IF(K4803&gt;L4803,"CONTATO COM O CLIENTE",IF(E4803="","NÃO CHEGOU",IF(M4803="",IF(K4803&gt;$N$1,"AGUARDANDO NO LABORATORIO","ATRASADO"),"FINALIZADO"))))</f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ref="B4867:B4930" si="152">IF(A4867="","",IF(K4867&gt;L4867,"CONTATO COM O CLIENTE",IF(E4867="","NÃO CHEGOU",IF(M4867="",IF(K4867&gt;$N$1,"AGUARDANDO NO LABORATORIO","ATRASADO"),"FINALIZADO"))))</f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ref="B4931:B4994" si="154">IF(A4931="","",IF(K4931&gt;L4931,"CONTATO COM O CLIENTE",IF(E4931="","NÃO CHEGOU",IF(M4931="",IF(K4931&gt;$N$1,"AGUARDANDO NO LABORATORIO","ATRASADO"),"FINALIZADO"))))</f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ref="B4995:B5058" si="156">IF(A4995="","",IF(K4995&gt;L4995,"CONTATO COM O CLIENTE",IF(E4995="","NÃO CHEGOU",IF(M4995="",IF(K4995&gt;$N$1,"AGUARDANDO NO LABORATORIO","ATRASADO"),"FINALIZADO"))))</f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ref="B5059:B5122" si="158">IF(A5059="","",IF(K5059&gt;L5059,"CONTATO COM O CLIENTE",IF(E5059="","NÃO CHEGOU",IF(M5059="",IF(K5059&gt;$N$1,"AGUARDANDO NO LABORATORIO","ATRASADO"),"FINALIZADO"))))</f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ref="B5123:B5186" si="160">IF(A5123="","",IF(K5123&gt;L5123,"CONTATO COM O CLIENTE",IF(E5123="","NÃO CHEGOU",IF(M5123="",IF(K5123&gt;$N$1,"AGUARDANDO NO LABORATORIO","ATRASADO"),"FINALIZADO"))))</f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ref="B5187:B5250" si="162">IF(A5187="","",IF(K5187&gt;L5187,"CONTATO COM O CLIENTE",IF(E5187="","NÃO CHEGOU",IF(M5187="",IF(K5187&gt;$N$1,"AGUARDANDO NO LABORATORIO","ATRASADO"),"FINALIZADO"))))</f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ref="B5251:B5314" si="164">IF(A5251="","",IF(K5251&gt;L5251,"CONTATO COM O CLIENTE",IF(E5251="","NÃO CHEGOU",IF(M5251="",IF(K5251&gt;$N$1,"AGUARDANDO NO LABORATORIO","ATRASADO"),"FINALIZADO"))))</f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ref="B5315:B5378" si="166">IF(A5315="","",IF(K5315&gt;L5315,"CONTATO COM O CLIENTE",IF(E5315="","NÃO CHEGOU",IF(M5315="",IF(K5315&gt;$N$1,"AGUARDANDO NO LABORATORIO","ATRASADO"),"FINALIZADO"))))</f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ref="B5379:B5442" si="168">IF(A5379="","",IF(K5379&gt;L5379,"CONTATO COM O CLIENTE",IF(E5379="","NÃO CHEGOU",IF(M5379="",IF(K5379&gt;$N$1,"AGUARDANDO NO LABORATORIO","ATRASADO"),"FINALIZADO"))))</f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ref="B5443:B5506" si="170">IF(A5443="","",IF(K5443&gt;L5443,"CONTATO COM O CLIENTE",IF(E5443="","NÃO CHEGOU",IF(M5443="",IF(K5443&gt;$N$1,"AGUARDANDO NO LABORATORIO","ATRASADO"),"FINALIZADO"))))</f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ref="B5507:B5570" si="172">IF(A5507="","",IF(K5507&gt;L5507,"CONTATO COM O CLIENTE",IF(E5507="","NÃO CHEGOU",IF(M5507="",IF(K5507&gt;$N$1,"AGUARDANDO NO LABORATORIO","ATRASADO"),"FINALIZADO"))))</f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ref="B5571:B5634" si="174">IF(A5571="","",IF(K5571&gt;L5571,"CONTATO COM O CLIENTE",IF(E5571="","NÃO CHEGOU",IF(M5571="",IF(K5571&gt;$N$1,"AGUARDANDO NO LABORATORIO","ATRASADO"),"FINALIZADO"))))</f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ref="B5635:B5698" si="176">IF(A5635="","",IF(K5635&gt;L5635,"CONTATO COM O CLIENTE",IF(E5635="","NÃO CHEGOU",IF(M5635="",IF(K5635&gt;$N$1,"AGUARDANDO NO LABORATORIO","ATRASADO"),"FINALIZADO"))))</f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ref="B5699:B5762" si="178">IF(A5699="","",IF(K5699&gt;L5699,"CONTATO COM O CLIENTE",IF(E5699="","NÃO CHEGOU",IF(M5699="",IF(K5699&gt;$N$1,"AGUARDANDO NO LABORATORIO","ATRASADO"),"FINALIZADO"))))</f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ref="B5763:B5826" si="180">IF(A5763="","",IF(K5763&gt;L5763,"CONTATO COM O CLIENTE",IF(E5763="","NÃO CHEGOU",IF(M5763="",IF(K5763&gt;$N$1,"AGUARDANDO NO LABORATORIO","ATRASADO"),"FINALIZADO"))))</f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ref="B5827:B5890" si="182">IF(A5827="","",IF(K5827&gt;L5827,"CONTATO COM O CLIENTE",IF(E5827="","NÃO CHEGOU",IF(M5827="",IF(K5827&gt;$N$1,"AGUARDANDO NO LABORATORIO","ATRASADO"),"FINALIZADO"))))</f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ref="B5891:B5954" si="184">IF(A5891="","",IF(K5891&gt;L5891,"CONTATO COM O CLIENTE",IF(E5891="","NÃO CHEGOU",IF(M5891="",IF(K5891&gt;$N$1,"AGUARDANDO NO LABORATORIO","ATRASADO"),"FINALIZADO"))))</f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ref="B5955:B6018" si="186">IF(A5955="","",IF(K5955&gt;L5955,"CONTATO COM O CLIENTE",IF(E5955="","NÃO CHEGOU",IF(M5955="",IF(K5955&gt;$N$1,"AGUARDANDO NO LABORATORIO","ATRASADO"),"FINALIZADO"))))</f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ref="B6019:B6082" si="188">IF(A6019="","",IF(K6019&gt;L6019,"CONTATO COM O CLIENTE",IF(E6019="","NÃO CHEGOU",IF(M6019="",IF(K6019&gt;$N$1,"AGUARDANDO NO LABORATORIO","ATRASADO"),"FINALIZADO"))))</f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ref="B6083:B6146" si="190">IF(A6083="","",IF(K6083&gt;L6083,"CONTATO COM O CLIENTE",IF(E6083="","NÃO CHEGOU",IF(M6083="",IF(K6083&gt;$N$1,"AGUARDANDO NO LABORATORIO","ATRASADO"),"FINALIZADO"))))</f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ref="B6147:B6210" si="192">IF(A6147="","",IF(K6147&gt;L6147,"CONTATO COM O CLIENTE",IF(E6147="","NÃO CHEGOU",IF(M6147="",IF(K6147&gt;$N$1,"AGUARDANDO NO LABORATORIO","ATRASADO"),"FINALIZADO"))))</f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ref="B6211:B6274" si="194">IF(A6211="","",IF(K6211&gt;L6211,"CONTATO COM O CLIENTE",IF(E6211="","NÃO CHEGOU",IF(M6211="",IF(K6211&gt;$N$1,"AGUARDANDO NO LABORATORIO","ATRASADO"),"FINALIZADO"))))</f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ref="B6275:B6338" si="196">IF(A6275="","",IF(K6275&gt;L6275,"CONTATO COM O CLIENTE",IF(E6275="","NÃO CHEGOU",IF(M6275="",IF(K6275&gt;$N$1,"AGUARDANDO NO LABORATORIO","ATRASADO"),"FINALIZADO"))))</f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ref="B6339:B6402" si="198">IF(A6339="","",IF(K6339&gt;L6339,"CONTATO COM O CLIENTE",IF(E6339="","NÃO CHEGOU",IF(M6339="",IF(K6339&gt;$N$1,"AGUARDANDO NO LABORATORIO","ATRASADO"),"FINALIZADO"))))</f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ref="B6403:B6466" si="200">IF(A6403="","",IF(K6403&gt;L6403,"CONTATO COM O CLIENTE",IF(E6403="","NÃO CHEGOU",IF(M6403="",IF(K6403&gt;$N$1,"AGUARDANDO NO LABORATORIO","ATRASADO"),"FINALIZADO"))))</f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ref="B6467:B6530" si="202">IF(A6467="","",IF(K6467&gt;L6467,"CONTATO COM O CLIENTE",IF(E6467="","NÃO CHEGOU",IF(M6467="",IF(K6467&gt;$N$1,"AGUARDANDO NO LABORATORIO","ATRASADO"),"FINALIZADO"))))</f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ref="B6531:B6594" si="204">IF(A6531="","",IF(K6531&gt;L6531,"CONTATO COM O CLIENTE",IF(E6531="","NÃO CHEGOU",IF(M6531="",IF(K6531&gt;$N$1,"AGUARDANDO NO LABORATORIO","ATRASADO"),"FINALIZADO"))))</f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ref="B6595:B6658" si="206">IF(A6595="","",IF(K6595&gt;L6595,"CONTATO COM O CLIENTE",IF(E6595="","NÃO CHEGOU",IF(M6595="",IF(K6595&gt;$N$1,"AGUARDANDO NO LABORATORIO","ATRASADO"),"FINALIZADO"))))</f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ref="B6659:B6722" si="208">IF(A6659="","",IF(K6659&gt;L6659,"CONTATO COM O CLIENTE",IF(E6659="","NÃO CHEGOU",IF(M6659="",IF(K6659&gt;$N$1,"AGUARDANDO NO LABORATORIO","ATRASADO"),"FINALIZADO"))))</f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ref="B6723:B6786" si="210">IF(A6723="","",IF(K6723&gt;L6723,"CONTATO COM O CLIENTE",IF(E6723="","NÃO CHEGOU",IF(M6723="",IF(K6723&gt;$N$1,"AGUARDANDO NO LABORATORIO","ATRASADO"),"FINALIZADO"))))</f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ref="B6787:B6850" si="212">IF(A6787="","",IF(K6787&gt;L6787,"CONTATO COM O CLIENTE",IF(E6787="","NÃO CHEGOU",IF(M6787="",IF(K6787&gt;$N$1,"AGUARDANDO NO LABORATORIO","ATRASADO"),"FINALIZADO"))))</f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ref="B6851:B6914" si="214">IF(A6851="","",IF(K6851&gt;L6851,"CONTATO COM O CLIENTE",IF(E6851="","NÃO CHEGOU",IF(M6851="",IF(K6851&gt;$N$1,"AGUARDANDO NO LABORATORIO","ATRASADO"),"FINALIZADO"))))</f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ref="B6915:B6978" si="216">IF(A6915="","",IF(K6915&gt;L6915,"CONTATO COM O CLIENTE",IF(E6915="","NÃO CHEGOU",IF(M6915="",IF(K6915&gt;$N$1,"AGUARDANDO NO LABORATORIO","ATRASADO"),"FINALIZADO"))))</f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ref="B6979:B7042" si="218">IF(A6979="","",IF(K6979&gt;L6979,"CONTATO COM O CLIENTE",IF(E6979="","NÃO CHEGOU",IF(M6979="",IF(K6979&gt;$N$1,"AGUARDANDO NO LABORATORIO","ATRASADO"),"FINALIZADO"))))</f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ref="B7043:B7106" si="220">IF(A7043="","",IF(K7043&gt;L7043,"CONTATO COM O CLIENTE",IF(E7043="","NÃO CHEGOU",IF(M7043="",IF(K7043&gt;$N$1,"AGUARDANDO NO LABORATORIO","ATRASADO"),"FINALIZADO"))))</f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ref="B7107:B7170" si="222">IF(A7107="","",IF(K7107&gt;L7107,"CONTATO COM O CLIENTE",IF(E7107="","NÃO CHEGOU",IF(M7107="",IF(K7107&gt;$N$1,"AGUARDANDO NO LABORATORIO","ATRASADO"),"FINALIZADO"))))</f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ref="B7171:B7234" si="224">IF(A7171="","",IF(K7171&gt;L7171,"CONTATO COM O CLIENTE",IF(E7171="","NÃO CHEGOU",IF(M7171="",IF(K7171&gt;$N$1,"AGUARDANDO NO LABORATORIO","ATRASADO"),"FINALIZADO"))))</f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ref="B7235:B7298" si="226">IF(A7235="","",IF(K7235&gt;L7235,"CONTATO COM O CLIENTE",IF(E7235="","NÃO CHEGOU",IF(M7235="",IF(K7235&gt;$N$1,"AGUARDANDO NO LABORATORIO","ATRASADO"),"FINALIZADO"))))</f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ref="B7299:B7362" si="228">IF(A7299="","",IF(K7299&gt;L7299,"CONTATO COM O CLIENTE",IF(E7299="","NÃO CHEGOU",IF(M7299="",IF(K7299&gt;$N$1,"AGUARDANDO NO LABORATORIO","ATRASADO"),"FINALIZADO"))))</f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ref="B7363:B7426" si="230">IF(A7363="","",IF(K7363&gt;L7363,"CONTATO COM O CLIENTE",IF(E7363="","NÃO CHEGOU",IF(M7363="",IF(K7363&gt;$N$1,"AGUARDANDO NO LABORATORIO","ATRASADO"),"FINALIZADO"))))</f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ref="B7427:B7490" si="232">IF(A7427="","",IF(K7427&gt;L7427,"CONTATO COM O CLIENTE",IF(E7427="","NÃO CHEGOU",IF(M7427="",IF(K7427&gt;$N$1,"AGUARDANDO NO LABORATORIO","ATRASADO"),"FINALIZADO"))))</f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ref="B7491:B7554" si="234">IF(A7491="","",IF(K7491&gt;L7491,"CONTATO COM O CLIENTE",IF(E7491="","NÃO CHEGOU",IF(M7491="",IF(K7491&gt;$N$1,"AGUARDANDO NO LABORATORIO","ATRASADO"),"FINALIZADO"))))</f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ref="B7555:B7618" si="236">IF(A7555="","",IF(K7555&gt;L7555,"CONTATO COM O CLIENTE",IF(E7555="","NÃO CHEGOU",IF(M7555="",IF(K7555&gt;$N$1,"AGUARDANDO NO LABORATORIO","ATRASADO"),"FINALIZADO"))))</f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ref="B7619:B7682" si="238">IF(A7619="","",IF(K7619&gt;L7619,"CONTATO COM O CLIENTE",IF(E7619="","NÃO CHEGOU",IF(M7619="",IF(K7619&gt;$N$1,"AGUARDANDO NO LABORATORIO","ATRASADO"),"FINALIZADO"))))</f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ref="B7683:B7746" si="240">IF(A7683="","",IF(K7683&gt;L7683,"CONTATO COM O CLIENTE",IF(E7683="","NÃO CHEGOU",IF(M7683="",IF(K7683&gt;$N$1,"AGUARDANDO NO LABORATORIO","ATRASADO"),"FINALIZADO"))))</f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ref="B7747:B7810" si="242">IF(A7747="","",IF(K7747&gt;L7747,"CONTATO COM O CLIENTE",IF(E7747="","NÃO CHEGOU",IF(M7747="",IF(K7747&gt;$N$1,"AGUARDANDO NO LABORATORIO","ATRASADO"),"FINALIZADO"))))</f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ref="B7811:B7874" si="244">IF(A7811="","",IF(K7811&gt;L7811,"CONTATO COM O CLIENTE",IF(E7811="","NÃO CHEGOU",IF(M7811="",IF(K7811&gt;$N$1,"AGUARDANDO NO LABORATORIO","ATRASADO"),"FINALIZADO"))))</f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ref="B7875:B7938" si="246">IF(A7875="","",IF(K7875&gt;L7875,"CONTATO COM O CLIENTE",IF(E7875="","NÃO CHEGOU",IF(M7875="",IF(K7875&gt;$N$1,"AGUARDANDO NO LABORATORIO","ATRASADO"),"FINALIZADO"))))</f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ref="B7939:B8002" si="248">IF(A7939="","",IF(K7939&gt;L7939,"CONTATO COM O CLIENTE",IF(E7939="","NÃO CHEGOU",IF(M7939="",IF(K7939&gt;$N$1,"AGUARDANDO NO LABORATORIO","ATRASADO"),"FINALIZADO"))))</f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ref="B8003:B8066" si="250">IF(A8003="","",IF(K8003&gt;L8003,"CONTATO COM O CLIENTE",IF(E8003="","NÃO CHEGOU",IF(M8003="",IF(K8003&gt;$N$1,"AGUARDANDO NO LABORATORIO","ATRASADO"),"FINALIZADO"))))</f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ref="B8067:B8130" si="252">IF(A8067="","",IF(K8067&gt;L8067,"CONTATO COM O CLIENTE",IF(E8067="","NÃO CHEGOU",IF(M8067="",IF(K8067&gt;$N$1,"AGUARDANDO NO LABORATORIO","ATRASADO"),"FINALIZADO"))))</f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ref="B8131:B8194" si="254">IF(A8131="","",IF(K8131&gt;L8131,"CONTATO COM O CLIENTE",IF(E8131="","NÃO CHEGOU",IF(M8131="",IF(K8131&gt;$N$1,"AGUARDANDO NO LABORATORIO","ATRASADO"),"FINALIZADO"))))</f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ref="B8195:B8258" si="256">IF(A8195="","",IF(K8195&gt;L8195,"CONTATO COM O CLIENTE",IF(E8195="","NÃO CHEGOU",IF(M8195="",IF(K8195&gt;$N$1,"AGUARDANDO NO LABORATORIO","ATRASADO"),"FINALIZADO"))))</f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ref="B8259:B8322" si="258">IF(A8259="","",IF(K8259&gt;L8259,"CONTATO COM O CLIENTE",IF(E8259="","NÃO CHEGOU",IF(M8259="",IF(K8259&gt;$N$1,"AGUARDANDO NO LABORATORIO","ATRASADO"),"FINALIZADO"))))</f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ref="B8323:B8386" si="260">IF(A8323="","",IF(K8323&gt;L8323,"CONTATO COM O CLIENTE",IF(E8323="","NÃO CHEGOU",IF(M8323="",IF(K8323&gt;$N$1,"AGUARDANDO NO LABORATORIO","ATRASADO"),"FINALIZADO"))))</f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ref="B8387:B8450" si="262">IF(A8387="","",IF(K8387&gt;L8387,"CONTATO COM O CLIENTE",IF(E8387="","NÃO CHEGOU",IF(M8387="",IF(K8387&gt;$N$1,"AGUARDANDO NO LABORATORIO","ATRASADO"),"FINALIZADO"))))</f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ref="B8451:B8514" si="264">IF(A8451="","",IF(K8451&gt;L8451,"CONTATO COM O CLIENTE",IF(E8451="","NÃO CHEGOU",IF(M8451="",IF(K8451&gt;$N$1,"AGUARDANDO NO LABORATORIO","ATRASADO"),"FINALIZADO"))))</f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ref="B8515:B8578" si="266">IF(A8515="","",IF(K8515&gt;L8515,"CONTATO COM O CLIENTE",IF(E8515="","NÃO CHEGOU",IF(M8515="",IF(K8515&gt;$N$1,"AGUARDANDO NO LABORATORIO","ATRASADO"),"FINALIZADO"))))</f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ref="B8579:B8642" si="268">IF(A8579="","",IF(K8579&gt;L8579,"CONTATO COM O CLIENTE",IF(E8579="","NÃO CHEGOU",IF(M8579="",IF(K8579&gt;$N$1,"AGUARDANDO NO LABORATORIO","ATRASADO"),"FINALIZADO"))))</f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ref="B8643:B8706" si="270">IF(A8643="","",IF(K8643&gt;L8643,"CONTATO COM O CLIENTE",IF(E8643="","NÃO CHEGOU",IF(M8643="",IF(K8643&gt;$N$1,"AGUARDANDO NO LABORATORIO","ATRASADO"),"FINALIZADO"))))</f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ref="B8707:B8770" si="272">IF(A8707="","",IF(K8707&gt;L8707,"CONTATO COM O CLIENTE",IF(E8707="","NÃO CHEGOU",IF(M8707="",IF(K8707&gt;$N$1,"AGUARDANDO NO LABORATORIO","ATRASADO"),"FINALIZADO"))))</f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ref="B8771:B8834" si="274">IF(A8771="","",IF(K8771&gt;L8771,"CONTATO COM O CLIENTE",IF(E8771="","NÃO CHEGOU",IF(M8771="",IF(K8771&gt;$N$1,"AGUARDANDO NO LABORATORIO","ATRASADO"),"FINALIZADO"))))</f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ref="B8835:B8898" si="276">IF(A8835="","",IF(K8835&gt;L8835,"CONTATO COM O CLIENTE",IF(E8835="","NÃO CHEGOU",IF(M8835="",IF(K8835&gt;$N$1,"AGUARDANDO NO LABORATORIO","ATRASADO"),"FINALIZADO"))))</f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ref="B8899:B8962" si="278">IF(A8899="","",IF(K8899&gt;L8899,"CONTATO COM O CLIENTE",IF(E8899="","NÃO CHEGOU",IF(M8899="",IF(K8899&gt;$N$1,"AGUARDANDO NO LABORATORIO","ATRASADO"),"FINALIZADO"))))</f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ref="B8963:B9026" si="280">IF(A8963="","",IF(K8963&gt;L8963,"CONTATO COM O CLIENTE",IF(E8963="","NÃO CHEGOU",IF(M8963="",IF(K8963&gt;$N$1,"AGUARDANDO NO LABORATORIO","ATRASADO"),"FINALIZADO"))))</f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ref="B9027:B9090" si="282">IF(A9027="","",IF(K9027&gt;L9027,"CONTATO COM O CLIENTE",IF(E9027="","NÃO CHEGOU",IF(M9027="",IF(K9027&gt;$N$1,"AGUARDANDO NO LABORATORIO","ATRASADO"),"FINALIZADO"))))</f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ref="B9091:B9154" si="284">IF(A9091="","",IF(K9091&gt;L9091,"CONTATO COM O CLIENTE",IF(E9091="","NÃO CHEGOU",IF(M9091="",IF(K9091&gt;$N$1,"AGUARDANDO NO LABORATORIO","ATRASADO"),"FINALIZADO"))))</f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ref="B9155:B9218" si="286">IF(A9155="","",IF(K9155&gt;L9155,"CONTATO COM O CLIENTE",IF(E9155="","NÃO CHEGOU",IF(M9155="",IF(K9155&gt;$N$1,"AGUARDANDO NO LABORATORIO","ATRASADO"),"FINALIZADO"))))</f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ref="B9219:B9282" si="288">IF(A9219="","",IF(K9219&gt;L9219,"CONTATO COM O CLIENTE",IF(E9219="","NÃO CHEGOU",IF(M9219="",IF(K9219&gt;$N$1,"AGUARDANDO NO LABORATORIO","ATRASADO"),"FINALIZADO"))))</f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ref="B9283:B9346" si="290">IF(A9283="","",IF(K9283&gt;L9283,"CONTATO COM O CLIENTE",IF(E9283="","NÃO CHEGOU",IF(M9283="",IF(K9283&gt;$N$1,"AGUARDANDO NO LABORATORIO","ATRASADO"),"FINALIZADO"))))</f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ref="B9347:B9410" si="292">IF(A9347="","",IF(K9347&gt;L9347,"CONTATO COM O CLIENTE",IF(E9347="","NÃO CHEGOU",IF(M9347="",IF(K9347&gt;$N$1,"AGUARDANDO NO LABORATORIO","ATRASADO"),"FINALIZADO"))))</f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ref="B9411:B9474" si="294">IF(A9411="","",IF(K9411&gt;L9411,"CONTATO COM O CLIENTE",IF(E9411="","NÃO CHEGOU",IF(M9411="",IF(K9411&gt;$N$1,"AGUARDANDO NO LABORATORIO","ATRASADO"),"FINALIZADO"))))</f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ref="B9475:B9538" si="296">IF(A9475="","",IF(K9475&gt;L9475,"CONTATO COM O CLIENTE",IF(E9475="","NÃO CHEGOU",IF(M9475="",IF(K9475&gt;$N$1,"AGUARDANDO NO LABORATORIO","ATRASADO"),"FINALIZADO"))))</f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ref="B9539:B9602" si="298">IF(A9539="","",IF(K9539&gt;L9539,"CONTATO COM O CLIENTE",IF(E9539="","NÃO CHEGOU",IF(M9539="",IF(K9539&gt;$N$1,"AGUARDANDO NO LABORATORIO","ATRASADO"),"FINALIZADO"))))</f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ref="B9603:B9666" si="300">IF(A9603="","",IF(K9603&gt;L9603,"CONTATO COM O CLIENTE",IF(E9603="","NÃO CHEGOU",IF(M9603="",IF(K9603&gt;$N$1,"AGUARDANDO NO LABORATORIO","ATRASADO"),"FINALIZADO"))))</f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ref="B9667:B9730" si="302">IF(A9667="","",IF(K9667&gt;L9667,"CONTATO COM O CLIENTE",IF(E9667="","NÃO CHEGOU",IF(M9667="",IF(K9667&gt;$N$1,"AGUARDANDO NO LABORATORIO","ATRASADO"),"FINALIZADO"))))</f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ref="B9731:B9794" si="304">IF(A9731="","",IF(K9731&gt;L9731,"CONTATO COM O CLIENTE",IF(E9731="","NÃO CHEGOU",IF(M9731="",IF(K9731&gt;$N$1,"AGUARDANDO NO LABORATORIO","ATRASADO"),"FINALIZADO"))))</f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ref="B9795:B9858" si="306">IF(A9795="","",IF(K9795&gt;L9795,"CONTATO COM O CLIENTE",IF(E9795="","NÃO CHEGOU",IF(M9795="",IF(K9795&gt;$N$1,"AGUARDANDO NO LABORATORIO","ATRASADO"),"FINALIZADO"))))</f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ref="B9859:B9922" si="308">IF(A9859="","",IF(K9859&gt;L9859,"CONTATO COM O CLIENTE",IF(E9859="","NÃO CHEGOU",IF(M9859="",IF(K9859&gt;$N$1,"AGUARDANDO NO LABORATORIO","ATRASADO"),"FINALIZADO"))))</f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ref="B9923:B9986" si="310">IF(A9923="","",IF(K9923&gt;L9923,"CONTATO COM O CLIENTE",IF(E9923="","NÃO CHEGOU",IF(M9923="",IF(K9923&gt;$N$1,"AGUARDANDO NO LABORATORIO","ATRASADO"),"FINALIZADO"))))</f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ref="B9987:B10050" si="312">IF(A9987="","",IF(K9987&gt;L9987,"CONTATO COM O CLIENTE",IF(E9987="","NÃO CHEGOU",IF(M9987="",IF(K9987&gt;$N$1,"AGUARDANDO NO LABORATORIO","ATRASADO"),"FINALIZADO"))))</f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ref="B10051:B10114" si="314">IF(A10051="","",IF(K10051&gt;L10051,"CONTATO COM O CLIENTE",IF(E10051="","NÃO CHEGOU",IF(M10051="",IF(K10051&gt;$N$1,"AGUARDANDO NO LABORATORIO","ATRASADO"),"FINALIZADO"))))</f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ref="B10115:B10178" si="316">IF(A10115="","",IF(K10115&gt;L10115,"CONTATO COM O CLIENTE",IF(E10115="","NÃO CHEGOU",IF(M10115="",IF(K10115&gt;$N$1,"AGUARDANDO NO LABORATORIO","ATRASADO"),"FINALIZADO"))))</f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ref="B10179:B10242" si="318">IF(A10179="","",IF(K10179&gt;L10179,"CONTATO COM O CLIENTE",IF(E10179="","NÃO CHEGOU",IF(M10179="",IF(K10179&gt;$N$1,"AGUARDANDO NO LABORATORIO","ATRASADO"),"FINALIZADO"))))</f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ref="B10243:B10306" si="320">IF(A10243="","",IF(K10243&gt;L10243,"CONTATO COM O CLIENTE",IF(E10243="","NÃO CHEGOU",IF(M10243="",IF(K10243&gt;$N$1,"AGUARDANDO NO LABORATORIO","ATRASADO"),"FINALIZADO"))))</f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ref="B10307:B10370" si="322">IF(A10307="","",IF(K10307&gt;L10307,"CONTATO COM O CLIENTE",IF(E10307="","NÃO CHEGOU",IF(M10307="",IF(K10307&gt;$N$1,"AGUARDANDO NO LABORATORIO","ATRASADO"),"FINALIZADO"))))</f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ref="B10371:B10434" si="324">IF(A10371="","",IF(K10371&gt;L10371,"CONTATO COM O CLIENTE",IF(E10371="","NÃO CHEGOU",IF(M10371="",IF(K10371&gt;$N$1,"AGUARDANDO NO LABORATORIO","ATRASADO"),"FINALIZADO"))))</f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ref="B10435:B10498" si="326">IF(A10435="","",IF(K10435&gt;L10435,"CONTATO COM O CLIENTE",IF(E10435="","NÃO CHEGOU",IF(M10435="",IF(K10435&gt;$N$1,"AGUARDANDO NO LABORATORIO","ATRASADO"),"FINALIZADO"))))</f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ref="B10499:B10562" si="328">IF(A10499="","",IF(K10499&gt;L10499,"CONTATO COM O CLIENTE",IF(E10499="","NÃO CHEGOU",IF(M10499="",IF(K10499&gt;$N$1,"AGUARDANDO NO LABORATORIO","ATRASADO"),"FINALIZADO"))))</f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ref="B10563:B10585" si="330">IF(A10563="","",IF(K10563&gt;L10563,"CONTATO COM O CLIENTE",IF(E10563="","NÃO CHEGOU",IF(M10563="",IF(K10563&gt;$N$1,"AGUARDANDO NO LABORATORIO","ATRASADO"),"FINALIZADO"))))</f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00">
    <cfRule type="expression" dxfId="7" priority="4">
      <formula>AND(SUMPRODUCT(--($I$3:$I$1000=$I3),--($J$3:$J$1000&lt;=$J3),--($K$3:$K$1000&gt;$J3))&gt;1,NOT($A3=0))</formula>
    </cfRule>
    <cfRule type="expression" dxfId="6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zoomScale="85" zoomScaleNormal="85" workbookViewId="0">
      <selection activeCell="G11" sqref="G11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8" ht="18.75" x14ac:dyDescent="0.2">
      <c r="A1" s="15" t="s">
        <v>250</v>
      </c>
      <c r="B1" s="16">
        <v>2017</v>
      </c>
      <c r="C1" s="15"/>
      <c r="D1" s="16"/>
      <c r="E1" s="15"/>
      <c r="F1" s="16" t="s">
        <v>254</v>
      </c>
      <c r="G1" s="18" t="s">
        <v>231</v>
      </c>
    </row>
    <row r="2" spans="1:8" ht="18.75" x14ac:dyDescent="0.2">
      <c r="A2" s="15" t="s">
        <v>251</v>
      </c>
      <c r="B2" s="16">
        <f ca="1">WEEKNUM(NOW())</f>
        <v>37</v>
      </c>
      <c r="C2" s="15"/>
      <c r="D2" s="17"/>
      <c r="E2" s="15"/>
      <c r="F2" s="16" t="s">
        <v>252</v>
      </c>
      <c r="G2" s="18">
        <v>37</v>
      </c>
    </row>
    <row r="3" spans="1:8" ht="21" x14ac:dyDescent="0.2">
      <c r="A3" s="35" t="s">
        <v>253</v>
      </c>
      <c r="B3" s="19">
        <f>IF(G2="",DATE(B1,1,1)+B2*7-6,DATE(B1,1,1)+G2*7-6)</f>
        <v>42989</v>
      </c>
      <c r="C3" s="19">
        <f>B3+1</f>
        <v>42990</v>
      </c>
      <c r="D3" s="19">
        <f>C3+1</f>
        <v>42991</v>
      </c>
      <c r="E3" s="19">
        <f>D3+1</f>
        <v>42992</v>
      </c>
      <c r="F3" s="19">
        <f>E3+1</f>
        <v>42993</v>
      </c>
      <c r="G3" s="19">
        <f>F3+1</f>
        <v>42994</v>
      </c>
    </row>
    <row r="4" spans="1:8" ht="21" x14ac:dyDescent="0.2">
      <c r="A4" s="35"/>
      <c r="B4" s="20">
        <f>WEEKDAY(B3)</f>
        <v>2</v>
      </c>
      <c r="C4" s="20">
        <f t="shared" ref="C4:G4" si="0">WEEKDAY(C3)</f>
        <v>3</v>
      </c>
      <c r="D4" s="20">
        <f t="shared" si="0"/>
        <v>4</v>
      </c>
      <c r="E4" s="20">
        <f t="shared" si="0"/>
        <v>5</v>
      </c>
      <c r="F4" s="20">
        <f t="shared" si="0"/>
        <v>6</v>
      </c>
      <c r="G4" s="20">
        <f t="shared" si="0"/>
        <v>7</v>
      </c>
    </row>
    <row r="5" spans="1:8" ht="30" customHeight="1" x14ac:dyDescent="0.2">
      <c r="A5" s="21">
        <v>0.29166666666666669</v>
      </c>
      <c r="B5" s="22" t="str">
        <f t="shared" ref="B5:G19" si="1">calendario(B$3,$A5,$G$1)</f>
        <v/>
      </c>
      <c r="C5" s="22" t="str">
        <f t="shared" si="1"/>
        <v/>
      </c>
      <c r="D5" s="22" t="str">
        <f t="shared" si="1"/>
        <v/>
      </c>
      <c r="E5" s="22" t="str">
        <f t="shared" si="1"/>
        <v/>
      </c>
      <c r="F5" s="22" t="str">
        <f t="shared" si="1"/>
        <v/>
      </c>
      <c r="G5" s="22" t="str">
        <f t="shared" si="1"/>
        <v/>
      </c>
    </row>
    <row r="6" spans="1:8" ht="30" customHeight="1" x14ac:dyDescent="0.2">
      <c r="A6" s="21">
        <v>0.33333333333333298</v>
      </c>
      <c r="B6" s="22" t="str">
        <f t="shared" si="1"/>
        <v/>
      </c>
      <c r="C6" s="22" t="str">
        <f t="shared" si="1"/>
        <v/>
      </c>
      <c r="D6" s="22" t="str">
        <f t="shared" si="1"/>
        <v>dada - fsf -  - CONTATO COM O CLIENTE</v>
      </c>
      <c r="E6" s="22" t="str">
        <f t="shared" si="1"/>
        <v/>
      </c>
      <c r="F6" s="22" t="str">
        <f t="shared" si="1"/>
        <v/>
      </c>
      <c r="G6" s="22" t="str">
        <f t="shared" si="1"/>
        <v/>
      </c>
    </row>
    <row r="7" spans="1:8" ht="30" customHeight="1" x14ac:dyDescent="0.2">
      <c r="A7" s="21">
        <v>0.375</v>
      </c>
      <c r="B7" s="22" t="str">
        <f t="shared" si="1"/>
        <v/>
      </c>
      <c r="C7" s="22" t="str">
        <f t="shared" si="1"/>
        <v/>
      </c>
      <c r="D7" s="22" t="str">
        <f>calendario(D$3,$A7,$G$1)</f>
        <v/>
      </c>
      <c r="E7" s="22" t="str">
        <f t="shared" si="1"/>
        <v/>
      </c>
      <c r="F7" s="22" t="str">
        <f t="shared" si="1"/>
        <v/>
      </c>
      <c r="G7" s="22" t="str">
        <f t="shared" si="1"/>
        <v/>
      </c>
      <c r="H7" s="24"/>
    </row>
    <row r="8" spans="1:8" ht="30" customHeight="1" x14ac:dyDescent="0.2">
      <c r="A8" s="21">
        <v>0.41666666666666702</v>
      </c>
      <c r="B8" s="22" t="str">
        <f t="shared" si="1"/>
        <v/>
      </c>
      <c r="C8" s="22" t="str">
        <f t="shared" si="1"/>
        <v/>
      </c>
      <c r="D8" s="22" t="str">
        <f t="shared" si="1"/>
        <v/>
      </c>
      <c r="E8" s="22" t="str">
        <f t="shared" si="1"/>
        <v/>
      </c>
      <c r="F8" s="22" t="str">
        <f t="shared" si="1"/>
        <v/>
      </c>
      <c r="G8" s="22" t="str">
        <f t="shared" si="1"/>
        <v/>
      </c>
    </row>
    <row r="9" spans="1:8" ht="30" customHeight="1" x14ac:dyDescent="0.2">
      <c r="A9" s="21">
        <v>0.45833333333333298</v>
      </c>
      <c r="B9" s="22" t="str">
        <f t="shared" si="1"/>
        <v/>
      </c>
      <c r="C9" s="22" t="str">
        <f t="shared" si="1"/>
        <v/>
      </c>
      <c r="D9" s="22" t="str">
        <f t="shared" si="1"/>
        <v/>
      </c>
      <c r="E9" s="22" t="str">
        <f t="shared" si="1"/>
        <v/>
      </c>
      <c r="F9" s="22" t="str">
        <f t="shared" si="1"/>
        <v/>
      </c>
      <c r="G9" s="22" t="str">
        <f t="shared" si="1"/>
        <v/>
      </c>
    </row>
    <row r="10" spans="1:8" ht="30" customHeight="1" x14ac:dyDescent="0.2">
      <c r="A10" s="21">
        <v>0.5</v>
      </c>
      <c r="B10" s="22" t="str">
        <f t="shared" ref="B10:G16" si="2">calendario(B$3,$A10,$G$1)</f>
        <v/>
      </c>
      <c r="C10" s="22" t="str">
        <f t="shared" si="2"/>
        <v/>
      </c>
      <c r="D10" s="22" t="str">
        <f t="shared" si="2"/>
        <v/>
      </c>
      <c r="E10" s="22" t="str">
        <f t="shared" si="2"/>
        <v/>
      </c>
      <c r="F10" s="22" t="str">
        <f t="shared" si="2"/>
        <v/>
      </c>
      <c r="G10" s="22" t="str">
        <f t="shared" si="2"/>
        <v/>
      </c>
    </row>
    <row r="11" spans="1:8" ht="30" customHeight="1" x14ac:dyDescent="0.2">
      <c r="A11" s="21">
        <v>0.54166666666666496</v>
      </c>
      <c r="B11" s="22" t="str">
        <f t="shared" si="1"/>
        <v/>
      </c>
      <c r="C11" s="22" t="str">
        <f t="shared" si="1"/>
        <v/>
      </c>
      <c r="D11" s="22" t="str">
        <f t="shared" si="1"/>
        <v/>
      </c>
      <c r="E11" s="22" t="str">
        <f t="shared" si="1"/>
        <v/>
      </c>
      <c r="F11" s="22" t="str">
        <f t="shared" si="1"/>
        <v/>
      </c>
      <c r="G11" s="22" t="str">
        <f t="shared" si="1"/>
        <v/>
      </c>
    </row>
    <row r="12" spans="1:8" ht="30" customHeight="1" x14ac:dyDescent="0.2">
      <c r="A12" s="21">
        <v>0.58333333333333104</v>
      </c>
      <c r="B12" s="22" t="str">
        <f t="shared" si="1"/>
        <v/>
      </c>
      <c r="C12" s="22" t="str">
        <f t="shared" si="1"/>
        <v/>
      </c>
      <c r="D12" s="22" t="str">
        <f t="shared" si="1"/>
        <v/>
      </c>
      <c r="E12" s="22" t="str">
        <f t="shared" si="1"/>
        <v/>
      </c>
      <c r="F12" s="22" t="str">
        <f t="shared" si="1"/>
        <v/>
      </c>
      <c r="G12" s="22" t="str">
        <f t="shared" si="1"/>
        <v/>
      </c>
    </row>
    <row r="13" spans="1:8" ht="30" customHeight="1" x14ac:dyDescent="0.2">
      <c r="A13" s="21">
        <v>0.624999999999997</v>
      </c>
      <c r="B13" s="22" t="str">
        <f t="shared" si="1"/>
        <v/>
      </c>
      <c r="C13" s="22" t="str">
        <f t="shared" si="1"/>
        <v/>
      </c>
      <c r="D13" s="22" t="str">
        <f>calendario(D$3,$A13,$G$1)</f>
        <v/>
      </c>
      <c r="E13" s="22" t="str">
        <f t="shared" si="1"/>
        <v/>
      </c>
      <c r="F13" s="22" t="str">
        <f t="shared" si="1"/>
        <v/>
      </c>
      <c r="G13" s="22" t="str">
        <f t="shared" si="1"/>
        <v/>
      </c>
    </row>
    <row r="14" spans="1:8" ht="30" customHeight="1" x14ac:dyDescent="0.2">
      <c r="A14" s="21">
        <v>0.66666666666666397</v>
      </c>
      <c r="B14" s="22" t="str">
        <f t="shared" si="1"/>
        <v/>
      </c>
      <c r="C14" s="22" t="str">
        <f t="shared" si="1"/>
        <v/>
      </c>
      <c r="D14" s="22" t="str">
        <f t="shared" si="1"/>
        <v/>
      </c>
      <c r="E14" s="22" t="str">
        <f>calendario(E$3,$A14,$G$1)</f>
        <v/>
      </c>
      <c r="F14" s="22" t="str">
        <f t="shared" si="1"/>
        <v/>
      </c>
      <c r="G14" s="22" t="str">
        <f t="shared" si="1"/>
        <v/>
      </c>
    </row>
    <row r="15" spans="1:8" ht="30" customHeight="1" x14ac:dyDescent="0.2">
      <c r="A15" s="21">
        <v>0.70833333333333004</v>
      </c>
      <c r="B15" s="22" t="str">
        <f t="shared" si="1"/>
        <v/>
      </c>
      <c r="C15" s="22" t="str">
        <f t="shared" si="1"/>
        <v/>
      </c>
      <c r="D15" s="22" t="str">
        <f t="shared" si="1"/>
        <v/>
      </c>
      <c r="E15" s="22" t="str">
        <f t="shared" si="1"/>
        <v/>
      </c>
      <c r="F15" s="22" t="str">
        <f t="shared" si="1"/>
        <v/>
      </c>
      <c r="G15" s="22" t="str">
        <f t="shared" si="1"/>
        <v/>
      </c>
    </row>
    <row r="16" spans="1:8" ht="30" customHeight="1" x14ac:dyDescent="0.2">
      <c r="A16" s="21">
        <v>0.749999999999996</v>
      </c>
      <c r="B16" s="22" t="str">
        <f t="shared" si="2"/>
        <v/>
      </c>
      <c r="C16" s="22" t="str">
        <f t="shared" si="2"/>
        <v/>
      </c>
      <c r="D16" s="22" t="str">
        <f t="shared" si="2"/>
        <v/>
      </c>
      <c r="E16" s="22" t="str">
        <f t="shared" si="2"/>
        <v/>
      </c>
      <c r="F16" s="22" t="str">
        <f t="shared" si="2"/>
        <v/>
      </c>
      <c r="G16" s="22" t="str">
        <f t="shared" si="2"/>
        <v/>
      </c>
    </row>
    <row r="17" spans="1:7" ht="30" customHeight="1" x14ac:dyDescent="0.2">
      <c r="A17" s="21">
        <v>0.79166666666666297</v>
      </c>
      <c r="B17" s="22" t="str">
        <f t="shared" si="1"/>
        <v/>
      </c>
      <c r="C17" s="22" t="str">
        <f t="shared" si="1"/>
        <v/>
      </c>
      <c r="D17" s="22" t="str">
        <f t="shared" si="1"/>
        <v/>
      </c>
      <c r="E17" s="22" t="str">
        <f t="shared" si="1"/>
        <v/>
      </c>
      <c r="F17" s="22" t="str">
        <f t="shared" si="1"/>
        <v/>
      </c>
      <c r="G17" s="22" t="str">
        <f t="shared" si="1"/>
        <v/>
      </c>
    </row>
    <row r="18" spans="1:7" ht="30" customHeight="1" x14ac:dyDescent="0.2">
      <c r="A18" s="21">
        <v>0.83333333333332904</v>
      </c>
      <c r="B18" s="22" t="str">
        <f t="shared" si="1"/>
        <v/>
      </c>
      <c r="C18" s="22" t="str">
        <f t="shared" si="1"/>
        <v/>
      </c>
      <c r="D18" s="22" t="str">
        <f t="shared" si="1"/>
        <v/>
      </c>
      <c r="E18" s="22" t="str">
        <f t="shared" si="1"/>
        <v/>
      </c>
      <c r="F18" s="22" t="str">
        <f t="shared" si="1"/>
        <v/>
      </c>
      <c r="G18" s="22" t="str">
        <f t="shared" si="1"/>
        <v/>
      </c>
    </row>
    <row r="19" spans="1:7" ht="30" customHeight="1" x14ac:dyDescent="0.2">
      <c r="A19" s="21">
        <v>0.874999999999995</v>
      </c>
      <c r="B19" s="22" t="str">
        <f t="shared" si="1"/>
        <v/>
      </c>
      <c r="C19" s="22" t="str">
        <f t="shared" si="1"/>
        <v/>
      </c>
      <c r="D19" s="22" t="str">
        <f t="shared" si="1"/>
        <v/>
      </c>
      <c r="E19" s="22" t="str">
        <f t="shared" si="1"/>
        <v/>
      </c>
      <c r="F19" s="22" t="str">
        <f t="shared" si="1"/>
        <v/>
      </c>
      <c r="G19" s="22" t="str">
        <f t="shared" si="1"/>
        <v/>
      </c>
    </row>
    <row r="23" spans="1:7" x14ac:dyDescent="0.2">
      <c r="B23" s="12"/>
    </row>
    <row r="24" spans="1:7" x14ac:dyDescent="0.2">
      <c r="B24" s="12"/>
    </row>
  </sheetData>
  <mergeCells count="1">
    <mergeCell ref="A3:A4"/>
  </mergeCells>
  <conditionalFormatting sqref="B5:G19">
    <cfRule type="expression" dxfId="5" priority="5">
      <formula>B$4=7</formula>
    </cfRule>
    <cfRule type="expression" dxfId="4" priority="6">
      <formula>OR($A5=0.5,$A5&lt;0.3,$A5&gt;0.7)</formula>
    </cfRule>
    <cfRule type="expression" dxfId="3" priority="4">
      <formula>status(B5)=" NÃO CHEGOU"</formula>
    </cfRule>
    <cfRule type="expression" dxfId="2" priority="3">
      <formula>status(B5)=" AGUARDANDO NO LABORATORIO"</formula>
    </cfRule>
    <cfRule type="expression" dxfId="1" priority="2">
      <formula>status(B5)=" FINALIZADO"</formula>
    </cfRule>
    <cfRule type="expression" dxfId="0" priority="1">
      <formula>status(B5)=" ATRASADO"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Dados'!$F$3:$F$9</xm:f>
          </x14:formula1>
          <xm:sqref>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223"/>
  <sheetViews>
    <sheetView topLeftCell="D1" workbookViewId="0">
      <selection activeCell="H3" sqref="H3"/>
    </sheetView>
  </sheetViews>
  <sheetFormatPr defaultColWidth="9.140625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6" width="17.85546875" bestFit="1" customWidth="1"/>
    <col min="7" max="7" width="23.28515625" customWidth="1"/>
    <col min="8" max="8" width="15" customWidth="1"/>
  </cols>
  <sheetData>
    <row r="1" spans="1:8" x14ac:dyDescent="0.2">
      <c r="A1" s="36" t="s">
        <v>15</v>
      </c>
      <c r="B1" s="36"/>
      <c r="C1" s="36"/>
      <c r="D1" s="36"/>
      <c r="E1" s="36"/>
      <c r="F1" s="36"/>
      <c r="G1" s="36"/>
      <c r="H1" s="36"/>
    </row>
    <row r="2" spans="1:8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  <c r="F2" s="23" t="s">
        <v>256</v>
      </c>
      <c r="G2" s="23" t="s">
        <v>257</v>
      </c>
      <c r="H2" s="32" t="s">
        <v>263</v>
      </c>
    </row>
    <row r="3" spans="1:8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  <c r="F3" s="5" t="s">
        <v>231</v>
      </c>
      <c r="G3" s="5" t="s">
        <v>242</v>
      </c>
      <c r="H3" s="33">
        <v>42998</v>
      </c>
    </row>
    <row r="4" spans="1:8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  <c r="F4" s="5" t="s">
        <v>232</v>
      </c>
      <c r="G4" s="5" t="s">
        <v>241</v>
      </c>
      <c r="H4" s="33">
        <v>43020</v>
      </c>
    </row>
    <row r="5" spans="1:8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  <c r="F5" s="5" t="s">
        <v>234</v>
      </c>
      <c r="G5" s="5" t="s">
        <v>258</v>
      </c>
      <c r="H5" s="33">
        <v>43041</v>
      </c>
    </row>
    <row r="6" spans="1:8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  <c r="F6" s="5" t="s">
        <v>236</v>
      </c>
      <c r="G6" s="5" t="s">
        <v>259</v>
      </c>
      <c r="H6" s="33">
        <v>43054</v>
      </c>
    </row>
    <row r="7" spans="1:8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  <c r="F7" s="5" t="s">
        <v>237</v>
      </c>
      <c r="G7" s="5" t="s">
        <v>260</v>
      </c>
      <c r="H7" s="33">
        <v>43094</v>
      </c>
    </row>
    <row r="8" spans="1:8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  <c r="F8" s="5" t="s">
        <v>238</v>
      </c>
      <c r="G8" s="5" t="s">
        <v>245</v>
      </c>
      <c r="H8" s="33">
        <v>43101</v>
      </c>
    </row>
    <row r="9" spans="1:8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  <c r="F9" s="5" t="s">
        <v>239</v>
      </c>
      <c r="G9" s="5" t="s">
        <v>243</v>
      </c>
    </row>
    <row r="10" spans="1:8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  <c r="G10" s="5" t="s">
        <v>244</v>
      </c>
    </row>
    <row r="11" spans="1:8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  <c r="G11" s="5"/>
    </row>
    <row r="12" spans="1:8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8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8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8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8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6"/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60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45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30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6"/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6"/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75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15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6"/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6"/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6"/>
      <c r="C223" s="5" t="s">
        <v>225</v>
      </c>
      <c r="D223" s="7"/>
      <c r="E223" s="8"/>
    </row>
  </sheetData>
  <autoFilter ref="A2:E2"/>
  <mergeCells count="1">
    <mergeCell ref="A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2017-09-13T05:02:57Z</dcterms:modified>
</cp:coreProperties>
</file>