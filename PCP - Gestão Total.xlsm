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ownloads\"/>
    </mc:Choice>
  </mc:AlternateContent>
  <bookViews>
    <workbookView xWindow="0" yWindow="0" windowWidth="20490" windowHeight="8595"/>
  </bookViews>
  <sheets>
    <sheet name="Resumo" sheetId="2" r:id="rId1"/>
    <sheet name="Banco de Dados" sheetId="3" r:id="rId2"/>
  </sheets>
  <definedNames>
    <definedName name="_xlnm._FilterDatabase" localSheetId="1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8" i="2" l="1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B21" i="2"/>
  <c r="B16" i="2" l="1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B3" i="2" s="1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B20" i="2" l="1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</calcChain>
</file>

<file path=xl/sharedStrings.xml><?xml version="1.0" encoding="utf-8"?>
<sst xmlns="http://schemas.openxmlformats.org/spreadsheetml/2006/main" count="879" uniqueCount="290">
  <si>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</si>
  <si>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</si>
  <si>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</si>
  <si>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</si>
  <si>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</si>
  <si>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</si>
  <si>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</si>
  <si>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</si>
  <si>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</si>
  <si>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</si>
  <si>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</si>
  <si>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</si>
  <si>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</si>
  <si>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</si>
  <si>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</si>
  <si>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</si>
  <si>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</si>
  <si>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</si>
  <si>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</si>
  <si>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</si>
  <si>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</si>
  <si>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</si>
  <si>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</si>
  <si>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</si>
  <si>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</si>
  <si>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</si>
  <si>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</si>
  <si>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</si>
  <si>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</si>
  <si>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</si>
  <si>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</si>
  <si>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</si>
  <si>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</si>
  <si>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</si>
  <si>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</si>
  <si>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</si>
  <si>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</si>
  <si>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</si>
  <si>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</si>
  <si>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</si>
  <si>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</si>
  <si>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</si>
  <si>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</si>
  <si>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</si>
  <si>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</si>
  <si>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</si>
  <si>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</si>
  <si>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</si>
  <si>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</si>
  <si>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</si>
  <si>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</si>
  <si>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</si>
  <si>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</si>
  <si>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</si>
  <si>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</si>
  <si>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</si>
  <si>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</si>
  <si>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</si>
  <si>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</si>
  <si>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</si>
  <si>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</si>
  <si>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</si>
  <si>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</si>
  <si>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</si>
  <si>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</si>
  <si>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</si>
  <si>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</si>
  <si>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</si>
  <si>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</si>
  <si>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</si>
  <si>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</si>
  <si>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</si>
  <si>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</si>
  <si>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</si>
  <si>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</si>
  <si>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</si>
  <si>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</si>
  <si>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</si>
  <si>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</si>
  <si>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</si>
  <si>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</si>
  <si>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</si>
  <si>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</si>
  <si>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</si>
  <si>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</si>
  <si>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</si>
  <si>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</si>
  <si>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</si>
  <si>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</si>
  <si>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</si>
  <si>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</si>
  <si>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</si>
  <si>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</si>
  <si>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</si>
  <si>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</si>
  <si>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</si>
  <si>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</si>
  <si>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</si>
  <si>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</si>
  <si>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</si>
  <si>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</si>
  <si>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</si>
  <si>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</si>
  <si>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</si>
  <si>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</si>
  <si>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</si>
  <si>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</si>
  <si>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</si>
  <si>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</si>
  <si>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</si>
  <si>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</si>
  <si>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</si>
  <si>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</si>
  <si>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</si>
  <si>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</si>
  <si>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</si>
  <si>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</si>
  <si>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</si>
  <si>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</si>
  <si>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</si>
  <si>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</si>
  <si>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</si>
  <si>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</si>
  <si>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</si>
  <si>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</si>
  <si>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</si>
  <si>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</si>
  <si>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</si>
  <si>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</si>
  <si>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</si>
  <si>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</si>
  <si>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</si>
  <si>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</si>
  <si>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</si>
  <si>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</si>
  <si>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</si>
  <si>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</si>
  <si>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</si>
  <si>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</si>
  <si>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</si>
  <si>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</si>
  <si>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</si>
  <si>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</si>
  <si>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</si>
  <si>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</si>
  <si>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</si>
  <si>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</si>
  <si>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</si>
  <si>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</si>
  <si>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</si>
  <si>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</si>
  <si>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</si>
  <si>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</si>
  <si>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</si>
  <si>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</si>
  <si>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</si>
  <si>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</si>
  <si>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</si>
  <si>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</si>
  <si>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</si>
  <si>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</si>
  <si>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</si>
  <si>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</si>
  <si>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</si>
  <si>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</si>
  <si>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</si>
  <si>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</si>
  <si>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</si>
  <si>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</si>
  <si>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</si>
  <si>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</si>
  <si>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</si>
  <si>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</si>
  <si>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</si>
  <si>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</si>
  <si>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</si>
  <si>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</si>
  <si>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</si>
  <si>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</si>
  <si>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</si>
  <si>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</si>
  <si>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</si>
  <si>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</si>
  <si>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</si>
  <si>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</si>
  <si>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</si>
  <si>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</si>
  <si>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</si>
  <si>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</si>
  <si>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</si>
  <si>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</si>
  <si>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</si>
  <si>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</si>
  <si>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</si>
  <si>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</si>
  <si>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</si>
  <si>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</si>
  <si>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</si>
  <si>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</si>
  <si>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</si>
  <si>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</si>
  <si>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</si>
  <si>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</si>
  <si>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</si>
  <si>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</si>
  <si>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</si>
  <si>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</si>
  <si>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</si>
  <si>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</si>
  <si>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</si>
  <si>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</si>
  <si>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</si>
  <si>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</si>
  <si>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</si>
  <si>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</si>
  <si>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</si>
  <si>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</si>
  <si>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</si>
  <si>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</si>
  <si>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</si>
  <si>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</si>
  <si>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</si>
  <si>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</si>
  <si>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</si>
  <si>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</si>
  <si>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</si>
  <si>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</si>
  <si>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</si>
  <si>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</si>
  <si>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</si>
  <si>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</si>
  <si>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</si>
  <si>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</si>
  <si>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</si>
  <si>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</si>
  <si>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</si>
  <si>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</si>
  <si>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</si>
  <si>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</si>
  <si>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</si>
  <si>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</si>
  <si>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</si>
  <si>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</si>
  <si>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</si>
  <si>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</si>
  <si>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</si>
  <si>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</si>
  <si>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</si>
  <si>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</si>
  <si>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01:00</t>
  </si>
  <si>
    <t>Não</t>
  </si>
  <si>
    <t>32131</t>
  </si>
  <si>
    <t>2131</t>
  </si>
  <si>
    <t>ewe</t>
  </si>
  <si>
    <t>432432</t>
  </si>
  <si>
    <t>5353/4534</t>
  </si>
  <si>
    <t>534/3</t>
  </si>
  <si>
    <t>423/0</t>
  </si>
  <si>
    <t>Data Limite para entrega:</t>
  </si>
  <si>
    <t>Certificado /Relatório</t>
  </si>
  <si>
    <t>6456</t>
  </si>
  <si>
    <t>534534</t>
  </si>
  <si>
    <t/>
  </si>
  <si>
    <t>3123</t>
  </si>
  <si>
    <t>31231</t>
  </si>
  <si>
    <t>01:15</t>
  </si>
  <si>
    <t>eqwew</t>
  </si>
  <si>
    <t>eqwe</t>
  </si>
  <si>
    <t>ewda</t>
  </si>
  <si>
    <t>dasda</t>
  </si>
  <si>
    <t>dsa</t>
  </si>
  <si>
    <t>04:00</t>
  </si>
  <si>
    <t>asd</t>
  </si>
  <si>
    <t>asda</t>
  </si>
  <si>
    <t>05:00</t>
  </si>
  <si>
    <t>dasdas</t>
  </si>
  <si>
    <t>das</t>
  </si>
  <si>
    <t>10:00</t>
  </si>
  <si>
    <t>sadasda</t>
  </si>
  <si>
    <t>dasd</t>
  </si>
  <si>
    <t>sdasd</t>
  </si>
  <si>
    <t>dasdsa</t>
  </si>
  <si>
    <t>asdada</t>
  </si>
  <si>
    <t>dadsa</t>
  </si>
  <si>
    <t>da</t>
  </si>
  <si>
    <t>sada</t>
  </si>
  <si>
    <t>eqweq</t>
  </si>
  <si>
    <t>ewqeqw</t>
  </si>
  <si>
    <t>eq</t>
  </si>
  <si>
    <t>eqw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</si>
</sst>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</numFmts>
  <fonts count="12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1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0" fontId="7" fillId="3" borderId="0" xfId="1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1131235</xdr:colOff>
      <xdr:row>0</xdr:row>
      <xdr:rowOff>21292</xdr:rowOff>
    </xdr:from>
    <xdr:to>
      <xdr:col>10</xdr:col>
      <xdr:colOff>739588</xdr:colOff>
      <xdr:row>0</xdr:row>
      <xdr:rowOff>414618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60617" y="21292"/>
          <a:ext cx="1838324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="85" zoomScaleNormal="85" workbookViewId="0">
      <pane ySplit="2" topLeftCell="A3" activePane="bottomLeft" state="frozen"/>
      <selection pane="bottomLeft" activeCell="G29" sqref="G29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3">
        <f ca="1">NOW()</f>
        <v>42976.929349421298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258</v>
      </c>
      <c r="M2" s="14" t="s">
        <v>259</v>
      </c>
      <c r="N2" s="14" t="s">
        <v>15</v>
      </c>
    </row>
    <row r="3" spans="1:15" x14ac:dyDescent="0.2">
      <c r="A3" t="s">
        <v>251</v>
      </c>
      <c r="B3" t="str">
        <f>IF(A3="","",IF(E3="","NÃO CHEGOU",IF(K3&gt;$N$1,"AGUARDANDO NO LABORATORIO",IF(M3="","ATRASADO","FINALIZADO"))))</f>
        <v>NÃO CHEGOU</v>
      </c>
      <c r="C3" t="s">
        <v>250</v>
      </c>
      <c r="D3" s="12" t="s">
        <v>255</v>
      </c>
      <c r="F3" t="s">
        <v>20</v>
      </c>
      <c r="G3" s="10" t="s">
        <v>249</v>
      </c>
      <c r="H3" t="s">
        <v>242</v>
      </c>
      <c r="I3" t="s">
        <v>233</v>
      </c>
      <c r="J3" s="11">
        <v>42977.333333333336</v>
      </c>
      <c r="K3" s="11">
        <f t="shared" ref="K3:K67" si="0">IF(A3="","",J3+G3)</f>
        <v>42977.375</v>
      </c>
      <c r="O3" s="12"/>
    </row>
    <row r="4" spans="1:15" x14ac:dyDescent="0.2">
      <c r="A4" t="s">
        <v>252</v>
      </c>
      <c r="B4" t="str">
        <f t="shared" ref="B4:B67" si="1">IF(A4="","",IF(E4="","NÃO CHEGOU",IF(K4&gt;$N$1,"AGUARDANDO NO LABORATORIO",IF(M4="","ATRASADO","FINALIZADO"))))</f>
        <v>NÃO CHEGOU</v>
      </c>
      <c r="C4" t="s">
        <v>250</v>
      </c>
      <c r="D4" s="12" t="s">
        <v>256</v>
      </c>
      <c r="F4" t="s">
        <v>20</v>
      </c>
      <c r="G4" s="10" t="s">
        <v>249</v>
      </c>
      <c r="H4" t="s">
        <v>242</v>
      </c>
      <c r="I4" t="s">
        <v>233</v>
      </c>
      <c r="J4" s="11">
        <v>42977.416666666664</v>
      </c>
      <c r="K4" s="11">
        <f t="shared" si="0"/>
        <v>42977.458333333328</v>
      </c>
    </row>
    <row r="5" spans="1:15" x14ac:dyDescent="0.2">
      <c r="A5" t="s">
        <v>253</v>
      </c>
      <c r="B5" t="str">
        <f t="shared" si="1"/>
        <v>NÃO CHEGOU</v>
      </c>
      <c r="C5" t="s">
        <v>250</v>
      </c>
      <c r="D5" s="12">
        <v>32</v>
      </c>
      <c r="F5" t="s">
        <v>22</v>
      </c>
      <c r="G5" s="10" t="s">
        <v>249</v>
      </c>
      <c r="H5" t="s">
        <v>242</v>
      </c>
      <c r="I5" t="s">
        <v>233</v>
      </c>
      <c r="J5" s="11">
        <v>42977.375</v>
      </c>
      <c r="K5" s="11">
        <f t="shared" si="0"/>
        <v>42977.416666666664</v>
      </c>
    </row>
    <row r="6" spans="1:15" x14ac:dyDescent="0.2">
      <c r="A6" t="s">
        <v>254</v>
      </c>
      <c r="B6" t="str">
        <f t="shared" si="1"/>
        <v>NÃO CHEGOU</v>
      </c>
      <c r="C6" t="s">
        <v>250</v>
      </c>
      <c r="D6" s="12" t="s">
        <v>257</v>
      </c>
      <c r="F6" t="s">
        <v>24</v>
      </c>
      <c r="G6" s="10" t="s">
        <v>249</v>
      </c>
      <c r="H6" t="s">
        <v>242</v>
      </c>
      <c r="I6" t="s">
        <v>233</v>
      </c>
      <c r="J6" s="11">
        <v>42977.458333333336</v>
      </c>
      <c r="K6" s="11">
        <f t="shared" si="0"/>
        <v>42977.5</v>
      </c>
    </row>
    <row r="7" spans="1:15" x14ac:dyDescent="0.2">
      <c r="A7" t="s">
        <v>260</v>
      </c>
      <c r="B7" t="str">
        <f t="shared" si="1"/>
        <v>NÃO CHEGOU</v>
      </c>
      <c r="C7" t="s">
        <v>250</v>
      </c>
      <c r="D7" s="12" t="s">
        <v>261</v>
      </c>
      <c r="E7" s="12" t="s">
        <v>262</v>
      </c>
      <c r="F7" t="s">
        <v>20</v>
      </c>
      <c r="G7" s="10" t="s">
        <v>249</v>
      </c>
      <c r="H7" t="s">
        <v>242</v>
      </c>
      <c r="I7" t="s">
        <v>233</v>
      </c>
      <c r="J7" s="11">
        <v>42977.541666666664</v>
      </c>
      <c r="K7" s="11">
        <f t="shared" si="0"/>
        <v>42977.583333333328</v>
      </c>
    </row>
    <row r="8" spans="1:15" x14ac:dyDescent="0.2">
      <c r="A8" t="s">
        <v>263</v>
      </c>
      <c r="B8" t="str">
        <f t="shared" si="1"/>
        <v>NÃO CHEGOU</v>
      </c>
      <c r="C8" t="s">
        <v>250</v>
      </c>
      <c r="D8" s="12" t="s">
        <v>264</v>
      </c>
      <c r="E8" s="12" t="s">
        <v>262</v>
      </c>
      <c r="F8" t="s">
        <v>26</v>
      </c>
      <c r="G8" s="10" t="s">
        <v>265</v>
      </c>
      <c r="H8" t="s">
        <v>243</v>
      </c>
      <c r="I8" t="s">
        <v>232</v>
      </c>
      <c r="J8" s="11">
        <v>42977.333333333336</v>
      </c>
      <c r="K8" s="11">
        <f t="shared" si="0"/>
        <v>42977.385416666672</v>
      </c>
    </row>
    <row r="9" spans="1:15" x14ac:dyDescent="0.2">
      <c r="A9" t="s">
        <v>266</v>
      </c>
      <c r="B9" t="str">
        <f t="shared" si="1"/>
        <v>NÃO CHEGOU</v>
      </c>
      <c r="C9" t="s">
        <v>250</v>
      </c>
      <c r="D9" s="12" t="s">
        <v>267</v>
      </c>
      <c r="E9" s="12" t="s">
        <v>262</v>
      </c>
      <c r="F9" t="s">
        <v>22</v>
      </c>
      <c r="G9" s="10" t="s">
        <v>249</v>
      </c>
      <c r="H9" t="s">
        <v>242</v>
      </c>
      <c r="I9" t="s">
        <v>233</v>
      </c>
      <c r="J9" s="11">
        <v>42977.583333333336</v>
      </c>
      <c r="K9" s="11">
        <f t="shared" si="0"/>
        <v>42977.625</v>
      </c>
      <c r="L9" s="11">
        <v>42982.583333333336</v>
      </c>
    </row>
    <row r="10" spans="1:15" x14ac:dyDescent="0.2">
      <c r="A10" t="s">
        <v>268</v>
      </c>
      <c r="B10" t="str">
        <f t="shared" si="1"/>
        <v>NÃO CHEGOU</v>
      </c>
      <c r="C10" t="s">
        <v>250</v>
      </c>
      <c r="D10" s="12" t="s">
        <v>269</v>
      </c>
      <c r="E10" s="12" t="s">
        <v>262</v>
      </c>
      <c r="F10" t="s">
        <v>21</v>
      </c>
      <c r="G10" s="10" t="s">
        <v>249</v>
      </c>
      <c r="H10" t="s">
        <v>242</v>
      </c>
      <c r="I10" t="s">
        <v>232</v>
      </c>
      <c r="J10" s="11">
        <v>42977.385416666664</v>
      </c>
      <c r="K10" s="11">
        <f t="shared" si="0"/>
        <v>42977.427083333328</v>
      </c>
      <c r="L10" s="11">
        <v>42982.385416666664</v>
      </c>
    </row>
    <row r="11" spans="1:15" x14ac:dyDescent="0.2">
      <c r="A11" t="s">
        <v>270</v>
      </c>
      <c r="B11" t="str">
        <f t="shared" si="1"/>
        <v>NÃO CHEGOU</v>
      </c>
      <c r="C11" t="s">
        <v>250</v>
      </c>
      <c r="D11" s="12" t="s">
        <v>269</v>
      </c>
      <c r="E11" s="12" t="s">
        <v>262</v>
      </c>
      <c r="F11" t="s">
        <v>22</v>
      </c>
      <c r="G11" s="10" t="s">
        <v>271</v>
      </c>
      <c r="H11" t="s">
        <v>242</v>
      </c>
      <c r="I11" t="s">
        <v>233</v>
      </c>
      <c r="J11" s="11">
        <v>42977.625</v>
      </c>
      <c r="K11" s="11">
        <f t="shared" si="0"/>
        <v>42977.791666666664</v>
      </c>
      <c r="L11" s="11">
        <v>42982.625</v>
      </c>
    </row>
    <row r="12" spans="1:15" x14ac:dyDescent="0.2">
      <c r="A12" t="s">
        <v>272</v>
      </c>
      <c r="B12" t="str">
        <f t="shared" si="1"/>
        <v>NÃO CHEGOU</v>
      </c>
      <c r="C12" t="s">
        <v>250</v>
      </c>
      <c r="D12" s="12" t="s">
        <v>273</v>
      </c>
      <c r="E12" s="12" t="s">
        <v>262</v>
      </c>
      <c r="F12" t="s">
        <v>22</v>
      </c>
      <c r="G12" s="10" t="s">
        <v>274</v>
      </c>
      <c r="H12" t="s">
        <v>242</v>
      </c>
      <c r="I12" t="s">
        <v>233</v>
      </c>
      <c r="J12" s="11">
        <v>42978.333333333336</v>
      </c>
      <c r="K12" s="11">
        <f t="shared" si="0"/>
        <v>42978.541666666672</v>
      </c>
      <c r="L12" s="11">
        <v>42983.333333333336</v>
      </c>
    </row>
    <row r="13" spans="1:15" x14ac:dyDescent="0.2">
      <c r="A13" t="s">
        <v>275</v>
      </c>
      <c r="B13" t="str">
        <f t="shared" si="1"/>
        <v>NÃO CHEGOU</v>
      </c>
      <c r="C13" t="s">
        <v>250</v>
      </c>
      <c r="D13" s="12" t="s">
        <v>276</v>
      </c>
      <c r="E13" s="12" t="s">
        <v>262</v>
      </c>
      <c r="F13" t="s">
        <v>20</v>
      </c>
      <c r="G13" s="10" t="s">
        <v>277</v>
      </c>
      <c r="H13" t="s">
        <v>242</v>
      </c>
      <c r="I13" t="s">
        <v>233</v>
      </c>
      <c r="J13" s="11">
        <v>42978.541666666664</v>
      </c>
      <c r="K13" s="11">
        <f t="shared" si="0"/>
        <v>42978.958333333328</v>
      </c>
      <c r="L13" s="11">
        <v>42983.541666666664</v>
      </c>
    </row>
    <row r="14" spans="1:15" x14ac:dyDescent="0.2">
      <c r="A14" t="s">
        <v>278</v>
      </c>
      <c r="B14" t="str">
        <f t="shared" si="1"/>
        <v>NÃO CHEGOU</v>
      </c>
      <c r="C14" t="s">
        <v>250</v>
      </c>
      <c r="D14" s="12" t="s">
        <v>279</v>
      </c>
      <c r="E14" s="12" t="s">
        <v>262</v>
      </c>
      <c r="F14" t="s">
        <v>20</v>
      </c>
      <c r="G14" s="10" t="s">
        <v>249</v>
      </c>
      <c r="H14" t="s">
        <v>242</v>
      </c>
      <c r="I14" t="s">
        <v>233</v>
      </c>
      <c r="J14" s="11">
        <v>42979.333333333336</v>
      </c>
      <c r="K14" s="11">
        <f t="shared" si="0"/>
        <v>42979.375</v>
      </c>
      <c r="L14" s="11">
        <v>42984.333333333336</v>
      </c>
    </row>
    <row r="15" spans="1:15" x14ac:dyDescent="0.2">
      <c r="A15" t="s">
        <v>279</v>
      </c>
      <c r="B15" t="str">
        <f t="shared" si="1"/>
        <v>NÃO CHEGOU</v>
      </c>
      <c r="C15" t="s">
        <v>250</v>
      </c>
      <c r="D15" s="12" t="s">
        <v>269</v>
      </c>
      <c r="E15" s="12" t="s">
        <v>262</v>
      </c>
      <c r="F15" t="s">
        <v>20</v>
      </c>
      <c r="G15" s="10" t="s">
        <v>274</v>
      </c>
      <c r="H15" t="s">
        <v>242</v>
      </c>
      <c r="I15" t="s">
        <v>233</v>
      </c>
      <c r="J15" s="11">
        <v>42979.375</v>
      </c>
      <c r="K15" s="11">
        <f t="shared" si="0"/>
        <v>42979.583333333336</v>
      </c>
      <c r="L15" s="11">
        <v>42984.375</v>
      </c>
    </row>
    <row r="16" spans="1:15" x14ac:dyDescent="0.2">
      <c r="A16" t="s">
        <v>280</v>
      </c>
      <c r="B16" t="str">
        <f t="shared" si="1"/>
        <v>NÃO CHEGOU</v>
      </c>
      <c r="C16" t="s">
        <v>250</v>
      </c>
      <c r="D16" s="12" t="s">
        <v>275</v>
      </c>
      <c r="E16" s="12" t="s">
        <v>262</v>
      </c>
      <c r="F16" t="s">
        <v>23</v>
      </c>
      <c r="G16" s="10" t="s">
        <v>249</v>
      </c>
      <c r="H16" t="s">
        <v>243</v>
      </c>
      <c r="I16" t="s">
        <v>232</v>
      </c>
      <c r="J16" s="11">
        <v>42977.427083333336</v>
      </c>
      <c r="K16" s="11">
        <f t="shared" si="0"/>
        <v>42977.46875</v>
      </c>
      <c r="L16" s="11">
        <v>42982.427083333336</v>
      </c>
    </row>
    <row r="17" spans="1:12" x14ac:dyDescent="0.2">
      <c r="A17" t="s">
        <v>281</v>
      </c>
      <c r="B17" t="str">
        <f t="shared" si="1"/>
        <v>NÃO CHEGOU</v>
      </c>
      <c r="C17" t="s">
        <v>250</v>
      </c>
      <c r="D17" s="12" t="s">
        <v>269</v>
      </c>
      <c r="E17" s="12" t="s">
        <v>262</v>
      </c>
      <c r="F17" t="s">
        <v>20</v>
      </c>
      <c r="G17" s="10" t="s">
        <v>274</v>
      </c>
      <c r="H17" t="s">
        <v>242</v>
      </c>
      <c r="I17" t="s">
        <v>233</v>
      </c>
      <c r="J17" s="11">
        <v>42979.583333333336</v>
      </c>
      <c r="K17" s="11">
        <f t="shared" si="0"/>
        <v>42979.791666666672</v>
      </c>
      <c r="L17" s="11">
        <v>42984.583333333336</v>
      </c>
    </row>
    <row r="18" spans="1:12" x14ac:dyDescent="0.2">
      <c r="A18" t="s">
        <v>279</v>
      </c>
      <c r="B18" t="str">
        <f t="shared" si="1"/>
        <v>NÃO CHEGOU</v>
      </c>
      <c r="C18" t="s">
        <v>250</v>
      </c>
      <c r="D18" s="12" t="s">
        <v>279</v>
      </c>
      <c r="E18" s="12" t="s">
        <v>262</v>
      </c>
      <c r="F18" t="s">
        <v>21</v>
      </c>
      <c r="G18" s="10" t="s">
        <v>274</v>
      </c>
      <c r="H18" t="s">
        <v>242</v>
      </c>
      <c r="I18" t="s">
        <v>232</v>
      </c>
      <c r="J18" s="11">
        <v>42977.541666666664</v>
      </c>
      <c r="K18" s="11">
        <f t="shared" si="0"/>
        <v>42977.75</v>
      </c>
      <c r="L18" s="11">
        <v>42982.541666666664</v>
      </c>
    </row>
    <row r="19" spans="1:12" x14ac:dyDescent="0.2">
      <c r="A19" t="s">
        <v>282</v>
      </c>
      <c r="B19" t="str">
        <f t="shared" si="1"/>
        <v>NÃO CHEGOU</v>
      </c>
      <c r="C19" t="s">
        <v>250</v>
      </c>
      <c r="D19" s="12" t="s">
        <v>275</v>
      </c>
      <c r="E19" s="12" t="s">
        <v>262</v>
      </c>
      <c r="F19" t="s">
        <v>21</v>
      </c>
      <c r="G19" s="10" t="s">
        <v>249</v>
      </c>
      <c r="H19" t="s">
        <v>242</v>
      </c>
      <c r="I19" t="s">
        <v>232</v>
      </c>
      <c r="J19" s="11">
        <v>42978.333333333336</v>
      </c>
      <c r="K19" s="11">
        <f t="shared" si="0"/>
        <v>42978.375</v>
      </c>
      <c r="L19" s="11">
        <v>42983.333333333336</v>
      </c>
    </row>
    <row r="20" spans="1:12" x14ac:dyDescent="0.2">
      <c r="A20" t="s">
        <v>279</v>
      </c>
      <c r="B20" t="str">
        <f t="shared" si="1"/>
        <v>NÃO CHEGOU</v>
      </c>
      <c r="C20" t="s">
        <v>250</v>
      </c>
      <c r="D20" s="12" t="s">
        <v>283</v>
      </c>
      <c r="F20" t="s">
        <v>20</v>
      </c>
      <c r="G20" s="10" t="s">
        <v>249</v>
      </c>
      <c r="H20" t="s">
        <v>242</v>
      </c>
      <c r="I20" t="s">
        <v>233</v>
      </c>
      <c r="J20" s="11">
        <v>42980.333333333336</v>
      </c>
      <c r="K20" s="11">
        <f t="shared" si="0"/>
        <v>42980.375</v>
      </c>
      <c r="L20" s="11">
        <v>42985.333333333336</v>
      </c>
    </row>
    <row r="21" spans="1:12" x14ac:dyDescent="0.2">
      <c r="A21" t="s">
        <v>284</v>
      </c>
      <c r="B21" t="str">
        <f t="shared" si="1"/>
        <v>NÃO CHEGOU</v>
      </c>
      <c r="C21" t="s">
        <v>250</v>
      </c>
      <c r="D21" s="12" t="s">
        <v>269</v>
      </c>
      <c r="E21" s="12" t="s">
        <v>262</v>
      </c>
      <c r="F21" t="s">
        <v>21</v>
      </c>
      <c r="G21" s="10" t="s">
        <v>249</v>
      </c>
      <c r="H21" t="s">
        <v>242</v>
      </c>
      <c r="I21" t="s">
        <v>232</v>
      </c>
      <c r="J21" s="11">
        <v>42978.375</v>
      </c>
      <c r="K21" s="11">
        <f t="shared" si="0"/>
        <v>42978.416666666664</v>
      </c>
      <c r="L21" s="11">
        <v>42983.375</v>
      </c>
    </row>
    <row r="22" spans="1:12" x14ac:dyDescent="0.2">
      <c r="A22" t="s">
        <v>279</v>
      </c>
      <c r="B22" t="str">
        <f t="shared" si="1"/>
        <v>NÃO CHEGOU</v>
      </c>
      <c r="C22" t="s">
        <v>250</v>
      </c>
      <c r="D22" s="12" t="s">
        <v>285</v>
      </c>
      <c r="E22" s="12" t="s">
        <v>262</v>
      </c>
      <c r="F22" t="s">
        <v>19</v>
      </c>
      <c r="G22" s="10" t="s">
        <v>249</v>
      </c>
      <c r="H22" t="s">
        <v>242</v>
      </c>
      <c r="I22" t="s">
        <v>232</v>
      </c>
      <c r="J22" s="11">
        <v>42978.416666666664</v>
      </c>
      <c r="K22" s="11">
        <f t="shared" si="0"/>
        <v>42978.458333333328</v>
      </c>
      <c r="L22" s="11">
        <v>42983.416666666664</v>
      </c>
    </row>
    <row r="23" spans="1:12" x14ac:dyDescent="0.2">
      <c r="A23" t="s">
        <v>286</v>
      </c>
      <c r="B23" t="str">
        <f t="shared" si="1"/>
        <v>NÃO CHEGOU</v>
      </c>
      <c r="C23" t="s">
        <v>250</v>
      </c>
      <c r="D23" s="12" t="s">
        <v>287</v>
      </c>
      <c r="E23" s="12" t="s">
        <v>262</v>
      </c>
      <c r="F23" t="s">
        <v>19</v>
      </c>
      <c r="G23" s="10" t="s">
        <v>249</v>
      </c>
      <c r="H23" t="s">
        <v>242</v>
      </c>
      <c r="I23" t="s">
        <v>232</v>
      </c>
      <c r="J23" s="11">
        <v>42978.458333333336</v>
      </c>
      <c r="K23" s="11">
        <f t="shared" si="0"/>
        <v>42978.5</v>
      </c>
      <c r="L23" s="11">
        <v>42983.458333333336</v>
      </c>
    </row>
    <row r="24" spans="1:12" x14ac:dyDescent="0.2">
      <c r="A24" t="s">
        <v>288</v>
      </c>
      <c r="B24" t="str">
        <f t="shared" si="1"/>
        <v>NÃO CHEGOU</v>
      </c>
      <c r="C24" t="s">
        <v>250</v>
      </c>
      <c r="D24" s="12" t="s">
        <v>286</v>
      </c>
      <c r="E24" s="12" t="s">
        <v>262</v>
      </c>
      <c r="F24" t="s">
        <v>21</v>
      </c>
      <c r="G24" s="10" t="s">
        <v>249</v>
      </c>
      <c r="H24" t="s">
        <v>242</v>
      </c>
      <c r="I24" t="s">
        <v>232</v>
      </c>
      <c r="J24" s="11">
        <v>42978.541666666664</v>
      </c>
      <c r="K24" s="11">
        <f t="shared" si="0"/>
        <v>42978.583333333328</v>
      </c>
      <c r="L24" s="11">
        <v>42983.541666666664</v>
      </c>
    </row>
    <row r="25" spans="1:12" x14ac:dyDescent="0.2">
      <c r="A25" t="s">
        <v>267</v>
      </c>
      <c r="B25" t="str">
        <f t="shared" si="1"/>
        <v>NÃO CHEGOU</v>
      </c>
      <c r="C25" t="s">
        <v>250</v>
      </c>
      <c r="D25" s="12" t="s">
        <v>289</v>
      </c>
      <c r="E25" s="12" t="s">
        <v>262</v>
      </c>
      <c r="F25" t="s">
        <v>21</v>
      </c>
      <c r="G25" s="10">
        <v>0.16666666666666666</v>
      </c>
      <c r="H25" t="s">
        <v>242</v>
      </c>
      <c r="I25" t="s">
        <v>232</v>
      </c>
      <c r="J25" s="11">
        <v>42978.583333333336</v>
      </c>
      <c r="K25" s="11">
        <f t="shared" si="0"/>
        <v>42978.75</v>
      </c>
      <c r="L25" s="11">
        <v>42983.583333333336</v>
      </c>
    </row>
    <row r="26" spans="1:12" x14ac:dyDescent="0.2">
      <c r="A26" t="s">
        <v>267</v>
      </c>
      <c r="B26" t="str">
        <f t="shared" si="1"/>
        <v>NÃO CHEGOU</v>
      </c>
      <c r="C26" t="s">
        <v>250</v>
      </c>
      <c r="D26" s="12" t="s">
        <v>289</v>
      </c>
      <c r="E26" s="12" t="s">
        <v>262</v>
      </c>
      <c r="F26" t="s">
        <v>21</v>
      </c>
      <c r="G26" s="10">
        <v>0.16666666666666666</v>
      </c>
      <c r="H26" t="s">
        <v>242</v>
      </c>
      <c r="I26" t="s">
        <v>232</v>
      </c>
      <c r="J26" s="11">
        <v>42979.333333333336</v>
      </c>
      <c r="K26" s="11">
        <f t="shared" si="0"/>
        <v>42979.5</v>
      </c>
      <c r="L26" s="11">
        <v>42984.333333333336</v>
      </c>
    </row>
    <row r="27" spans="1:12" x14ac:dyDescent="0.2">
      <c r="A27" t="s">
        <v>267</v>
      </c>
      <c r="B27" t="str">
        <f t="shared" si="1"/>
        <v>NÃO CHEGOU</v>
      </c>
      <c r="C27" t="s">
        <v>250</v>
      </c>
      <c r="D27" s="12" t="s">
        <v>289</v>
      </c>
      <c r="E27" s="12" t="s">
        <v>262</v>
      </c>
      <c r="F27" t="s">
        <v>21</v>
      </c>
      <c r="G27" s="10">
        <v>0.16666666666666666</v>
      </c>
      <c r="H27" t="s">
        <v>242</v>
      </c>
      <c r="I27" t="s">
        <v>232</v>
      </c>
      <c r="J27" s="11">
        <v>42980.333333333336</v>
      </c>
      <c r="K27" s="11">
        <f t="shared" si="0"/>
        <v>42980.5</v>
      </c>
      <c r="L27" s="11">
        <v>42985.333333333336</v>
      </c>
    </row>
    <row r="28" spans="1:12" x14ac:dyDescent="0.2">
      <c r="A28" t="s">
        <v>267</v>
      </c>
      <c r="B28" t="str">
        <f t="shared" si="1"/>
        <v>NÃO CHEGOU</v>
      </c>
      <c r="C28" t="s">
        <v>250</v>
      </c>
      <c r="D28" s="12" t="s">
        <v>289</v>
      </c>
      <c r="E28" s="12" t="s">
        <v>262</v>
      </c>
      <c r="F28" t="s">
        <v>21</v>
      </c>
      <c r="G28" s="10">
        <v>0.16666666666666666</v>
      </c>
      <c r="H28" t="s">
        <v>242</v>
      </c>
      <c r="I28" t="s">
        <v>232</v>
      </c>
      <c r="J28" s="11">
        <v>42981.333333333336</v>
      </c>
      <c r="K28" s="11">
        <f t="shared" si="0"/>
        <v>42981.5</v>
      </c>
      <c r="L28" s="11">
        <v>42986.333333333336</v>
      </c>
    </row>
    <row r="29" spans="1:12" x14ac:dyDescent="0.2">
      <c r="A29" t="s">
        <v>267</v>
      </c>
      <c r="B29" t="str">
        <f t="shared" si="1"/>
        <v>NÃO CHEGOU</v>
      </c>
      <c r="C29" t="s">
        <v>250</v>
      </c>
      <c r="D29" s="12" t="s">
        <v>289</v>
      </c>
      <c r="E29" s="12" t="s">
        <v>262</v>
      </c>
      <c r="F29" t="s">
        <v>21</v>
      </c>
      <c r="G29" s="10" t="s">
        <v>271</v>
      </c>
      <c r="H29" t="s">
        <v>242</v>
      </c>
      <c r="I29" t="s">
        <v>232</v>
      </c>
      <c r="J29" s="11">
        <v>42981.541666666664</v>
      </c>
      <c r="K29" s="11">
        <f t="shared" si="0"/>
        <v>42981.708333333328</v>
      </c>
      <c r="L29" s="11">
        <v>42986.541666666664</v>
      </c>
    </row>
    <row r="30" spans="1:12" x14ac:dyDescent="0.2">
      <c r="B30" t="str">
        <f t="shared" si="1"/>
        <v/>
      </c>
      <c r="J30" s="11"/>
      <c r="K30" s="11" t="str">
        <f t="shared" si="0"/>
        <v/>
      </c>
    </row>
    <row r="31" spans="1:12" x14ac:dyDescent="0.2">
      <c r="B31" t="str">
        <f t="shared" si="1"/>
        <v/>
      </c>
      <c r="J31" s="11"/>
      <c r="K31" s="11" t="str">
        <f t="shared" si="0"/>
        <v/>
      </c>
    </row>
    <row r="32" spans="1:12" x14ac:dyDescent="0.2">
      <c r="B32" t="str">
        <f t="shared" si="1"/>
        <v/>
      </c>
      <c r="J32" s="11"/>
      <c r="K32" s="11" t="str">
        <f t="shared" si="0"/>
        <v/>
      </c>
    </row>
    <row r="33" spans="2:11" x14ac:dyDescent="0.2">
      <c r="B33" t="str">
        <f t="shared" si="1"/>
        <v/>
      </c>
      <c r="J33" s="11"/>
      <c r="K33" s="11" t="str">
        <f t="shared" si="0"/>
        <v/>
      </c>
    </row>
    <row r="34" spans="2:11" x14ac:dyDescent="0.2">
      <c r="B34" t="str">
        <f t="shared" si="1"/>
        <v/>
      </c>
      <c r="J34" s="11"/>
      <c r="K34" s="11" t="str">
        <f t="shared" si="0"/>
        <v/>
      </c>
    </row>
    <row r="35" spans="2:11" x14ac:dyDescent="0.2">
      <c r="B35" t="str">
        <f t="shared" si="1"/>
        <v/>
      </c>
      <c r="J35" s="11"/>
      <c r="K35" s="11" t="str">
        <f t="shared" si="0"/>
        <v/>
      </c>
    </row>
    <row r="36" spans="2:11" x14ac:dyDescent="0.2">
      <c r="B36" t="str">
        <f t="shared" si="1"/>
        <v/>
      </c>
      <c r="J36" s="11"/>
      <c r="K36" s="11" t="str">
        <f t="shared" si="0"/>
        <v/>
      </c>
    </row>
    <row r="37" spans="2:11" x14ac:dyDescent="0.2">
      <c r="B37" t="str">
        <f t="shared" si="1"/>
        <v/>
      </c>
      <c r="J37" s="11"/>
      <c r="K37" s="11" t="str">
        <f t="shared" si="0"/>
        <v/>
      </c>
    </row>
    <row r="38" spans="2:11" x14ac:dyDescent="0.2">
      <c r="B38" t="str">
        <f t="shared" si="1"/>
        <v/>
      </c>
      <c r="J38" s="11"/>
      <c r="K38" s="11" t="str">
        <f t="shared" si="0"/>
        <v/>
      </c>
    </row>
    <row r="39" spans="2:11" x14ac:dyDescent="0.2">
      <c r="B39" t="str">
        <f t="shared" si="1"/>
        <v/>
      </c>
      <c r="J39" s="11"/>
      <c r="K39" s="11" t="str">
        <f t="shared" si="0"/>
        <v/>
      </c>
    </row>
    <row r="40" spans="2:11" x14ac:dyDescent="0.2">
      <c r="B40" t="str">
        <f t="shared" si="1"/>
        <v/>
      </c>
      <c r="J40" s="11"/>
      <c r="K40" s="11" t="str">
        <f t="shared" si="0"/>
        <v/>
      </c>
    </row>
    <row r="41" spans="2:11" x14ac:dyDescent="0.2">
      <c r="B41" t="str">
        <f t="shared" si="1"/>
        <v/>
      </c>
      <c r="J41" s="11"/>
      <c r="K41" s="11" t="str">
        <f t="shared" si="0"/>
        <v/>
      </c>
    </row>
    <row r="42" spans="2:11" x14ac:dyDescent="0.2">
      <c r="B42" t="str">
        <f t="shared" si="1"/>
        <v/>
      </c>
      <c r="J42" s="11"/>
      <c r="K42" s="11" t="str">
        <f t="shared" si="0"/>
        <v/>
      </c>
    </row>
    <row r="43" spans="2:11" x14ac:dyDescent="0.2">
      <c r="B43" t="str">
        <f t="shared" si="1"/>
        <v/>
      </c>
      <c r="J43" s="11"/>
      <c r="K43" s="11" t="str">
        <f t="shared" si="0"/>
        <v/>
      </c>
    </row>
    <row r="44" spans="2:11" x14ac:dyDescent="0.2">
      <c r="B44" t="str">
        <f t="shared" si="1"/>
        <v/>
      </c>
      <c r="J44" s="11"/>
      <c r="K44" s="11" t="str">
        <f t="shared" si="0"/>
        <v/>
      </c>
    </row>
    <row r="45" spans="2:11" x14ac:dyDescent="0.2">
      <c r="B45" t="str">
        <f t="shared" si="1"/>
        <v/>
      </c>
      <c r="J45" s="11"/>
      <c r="K45" s="11" t="str">
        <f t="shared" si="0"/>
        <v/>
      </c>
    </row>
    <row r="46" spans="2:11" x14ac:dyDescent="0.2">
      <c r="B46" t="str">
        <f t="shared" si="1"/>
        <v/>
      </c>
      <c r="J46" s="11"/>
      <c r="K46" s="11" t="str">
        <f t="shared" si="0"/>
        <v/>
      </c>
    </row>
    <row r="47" spans="2:11" x14ac:dyDescent="0.2">
      <c r="B47" t="str">
        <f t="shared" si="1"/>
        <v/>
      </c>
      <c r="J47" s="11"/>
      <c r="K47" s="11" t="str">
        <f t="shared" si="0"/>
        <v/>
      </c>
    </row>
    <row r="48" spans="2:11" x14ac:dyDescent="0.2">
      <c r="B48" t="str">
        <f t="shared" si="1"/>
        <v/>
      </c>
      <c r="J48" s="11"/>
      <c r="K48" s="11" t="str">
        <f t="shared" si="0"/>
        <v/>
      </c>
    </row>
    <row r="49" spans="2:11" x14ac:dyDescent="0.2">
      <c r="B49" t="str">
        <f t="shared" si="1"/>
        <v/>
      </c>
      <c r="J49" s="11"/>
      <c r="K49" s="11" t="str">
        <f t="shared" si="0"/>
        <v/>
      </c>
    </row>
    <row r="50" spans="2:11" x14ac:dyDescent="0.2">
      <c r="B50" t="str">
        <f t="shared" si="1"/>
        <v/>
      </c>
      <c r="J50" s="11"/>
      <c r="K50" s="11" t="str">
        <f t="shared" si="0"/>
        <v/>
      </c>
    </row>
    <row r="51" spans="2:11" x14ac:dyDescent="0.2">
      <c r="B51" t="str">
        <f t="shared" si="1"/>
        <v/>
      </c>
      <c r="J51" s="11"/>
      <c r="K51" s="11" t="str">
        <f t="shared" si="0"/>
        <v/>
      </c>
    </row>
    <row r="52" spans="2:11" x14ac:dyDescent="0.2">
      <c r="B52" t="str">
        <f t="shared" si="1"/>
        <v/>
      </c>
      <c r="J52" s="11"/>
      <c r="K52" s="11" t="str">
        <f t="shared" si="0"/>
        <v/>
      </c>
    </row>
    <row r="53" spans="2:11" x14ac:dyDescent="0.2">
      <c r="B53" t="str">
        <f t="shared" si="1"/>
        <v/>
      </c>
      <c r="J53" s="11"/>
      <c r="K53" s="11" t="str">
        <f t="shared" si="0"/>
        <v/>
      </c>
    </row>
    <row r="54" spans="2:11" x14ac:dyDescent="0.2">
      <c r="B54" t="str">
        <f t="shared" si="1"/>
        <v/>
      </c>
      <c r="J54" s="11"/>
      <c r="K54" s="11" t="str">
        <f t="shared" si="0"/>
        <v/>
      </c>
    </row>
    <row r="55" spans="2:11" x14ac:dyDescent="0.2">
      <c r="B55" t="str">
        <f t="shared" si="1"/>
        <v/>
      </c>
      <c r="J55" s="11"/>
      <c r="K55" s="11" t="str">
        <f t="shared" si="0"/>
        <v/>
      </c>
    </row>
    <row r="56" spans="2:11" x14ac:dyDescent="0.2">
      <c r="B56" t="str">
        <f t="shared" si="1"/>
        <v/>
      </c>
      <c r="J56" s="11"/>
      <c r="K56" s="11" t="str">
        <f t="shared" si="0"/>
        <v/>
      </c>
    </row>
    <row r="57" spans="2:11" x14ac:dyDescent="0.2">
      <c r="B57" t="str">
        <f t="shared" si="1"/>
        <v/>
      </c>
      <c r="J57" s="11"/>
      <c r="K57" s="11" t="str">
        <f t="shared" si="0"/>
        <v/>
      </c>
    </row>
    <row r="58" spans="2:11" x14ac:dyDescent="0.2">
      <c r="B58" t="str">
        <f t="shared" si="1"/>
        <v/>
      </c>
      <c r="J58" s="11"/>
      <c r="K58" s="11" t="str">
        <f t="shared" si="0"/>
        <v/>
      </c>
    </row>
    <row r="59" spans="2:11" x14ac:dyDescent="0.2">
      <c r="B59" t="str">
        <f t="shared" si="1"/>
        <v/>
      </c>
      <c r="J59" s="11"/>
      <c r="K59" s="11" t="str">
        <f t="shared" si="0"/>
        <v/>
      </c>
    </row>
    <row r="60" spans="2:11" x14ac:dyDescent="0.2">
      <c r="B60" t="str">
        <f t="shared" si="1"/>
        <v/>
      </c>
      <c r="J60" s="11"/>
      <c r="K60" s="11" t="str">
        <f t="shared" si="0"/>
        <v/>
      </c>
    </row>
    <row r="61" spans="2:11" x14ac:dyDescent="0.2">
      <c r="B61" t="str">
        <f t="shared" si="1"/>
        <v/>
      </c>
      <c r="J61" s="11"/>
      <c r="K61" s="11" t="str">
        <f t="shared" si="0"/>
        <v/>
      </c>
    </row>
    <row r="62" spans="2:11" x14ac:dyDescent="0.2">
      <c r="B62" t="str">
        <f t="shared" si="1"/>
        <v/>
      </c>
      <c r="J62" s="11"/>
      <c r="K62" s="11" t="str">
        <f t="shared" si="0"/>
        <v/>
      </c>
    </row>
    <row r="63" spans="2:11" x14ac:dyDescent="0.2">
      <c r="B63" t="str">
        <f t="shared" si="1"/>
        <v/>
      </c>
      <c r="J63" s="11"/>
      <c r="K63" s="11" t="str">
        <f t="shared" si="0"/>
        <v/>
      </c>
    </row>
    <row r="64" spans="2:11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2" priority="3">
      <formula>AND(SUMPRODUCT(--($I$3:$I$1000=$I3),--($J$3:$J$1000&lt;=$J3),--($K$3:$K$1000&gt;$J3))&gt;1,NOT($A1=0))</formula>
    </cfRule>
  </conditionalFormatting>
  <conditionalFormatting sqref="E3:E56">
    <cfRule type="expression" dxfId="1" priority="2">
      <formula>AND(SUMPRODUCT(--($I$3:$I$1000=$I3),--($J$3:$J$1000&lt;=$J3),--($K$3:$K$1000&gt;$J3))&gt;1,NOT($A1=0))</formula>
    </cfRule>
  </conditionalFormatting>
  <conditionalFormatting sqref="D4:D14">
    <cfRule type="expression" dxfId="0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70"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16" t="s">
        <v>16</v>
      </c>
      <c r="B1" s="16"/>
      <c r="C1" s="16"/>
      <c r="D1" s="16"/>
      <c r="E1" s="1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2017-08-30T01:27:57Z</dcterms:modified>
</cp:coreProperties>
</file>