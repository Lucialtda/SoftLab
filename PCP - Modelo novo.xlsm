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ownloads\"/>
    </mc:Choice>
  </mc:AlternateContent>
  <bookViews>
    <workbookView xWindow="0" yWindow="0" windowWidth="20490" windowHeight="8595" activeTab="1"/>
  </bookViews>
  <sheets>
    <sheet name="Resumo" sheetId="2" r:id="rId1"/>
    <sheet name="Atual" sheetId="3" r:id="rId2"/>
  </sheets>
  <calcPr calcId="162913"/>
  <fileRecoveryPr autoRecover="0"/>
</workbook>
</file>

<file path=xl/calcChain.xml><?xml version="1.0" encoding="utf-8"?>
<calcChain xmlns="http://schemas.openxmlformats.org/spreadsheetml/2006/main">
  <c r="B2" i="3" l="1"/>
  <c r="B3" i="3" s="1"/>
  <c r="B7" i="3" l="1"/>
  <c r="B11" i="3"/>
  <c r="B15" i="3"/>
  <c r="B19" i="3"/>
  <c r="B6" i="3"/>
  <c r="B18" i="3"/>
  <c r="B4" i="3"/>
  <c r="B8" i="3"/>
  <c r="B12" i="3"/>
  <c r="B16" i="3"/>
  <c r="B5" i="3"/>
  <c r="B10" i="3"/>
  <c r="B9" i="3"/>
  <c r="B13" i="3"/>
  <c r="B17" i="3"/>
  <c r="B14" i="3"/>
  <c r="C3" i="3"/>
  <c r="C5" i="3" l="1"/>
  <c r="C9" i="3"/>
  <c r="C13" i="3"/>
  <c r="C17" i="3"/>
  <c r="C12" i="3"/>
  <c r="C16" i="3"/>
  <c r="C6" i="3"/>
  <c r="C10" i="3"/>
  <c r="C14" i="3"/>
  <c r="C18" i="3"/>
  <c r="C8" i="3"/>
  <c r="C7" i="3"/>
  <c r="C11" i="3"/>
  <c r="C15" i="3"/>
  <c r="C19" i="3"/>
  <c r="C4" i="3"/>
  <c r="D3" i="3"/>
  <c r="D8" i="3" l="1"/>
  <c r="D12" i="3"/>
  <c r="D16" i="3"/>
  <c r="D5" i="3"/>
  <c r="D9" i="3"/>
  <c r="D13" i="3"/>
  <c r="D17" i="3"/>
  <c r="D15" i="3"/>
  <c r="D4" i="3"/>
  <c r="D6" i="3"/>
  <c r="D10" i="3"/>
  <c r="D14" i="3"/>
  <c r="D18" i="3"/>
  <c r="D7" i="3"/>
  <c r="D11" i="3"/>
  <c r="D19" i="3"/>
  <c r="E3" i="3"/>
  <c r="E7" i="3" l="1"/>
  <c r="E11" i="3"/>
  <c r="E15" i="3"/>
  <c r="E19" i="3"/>
  <c r="E4" i="3"/>
  <c r="E6" i="3"/>
  <c r="E8" i="3"/>
  <c r="E12" i="3"/>
  <c r="E16" i="3"/>
  <c r="E10" i="3"/>
  <c r="E18" i="3"/>
  <c r="E5" i="3"/>
  <c r="E9" i="3"/>
  <c r="E13" i="3"/>
  <c r="E17" i="3"/>
  <c r="E14" i="3"/>
  <c r="F3" i="3"/>
  <c r="F6" i="3" l="1"/>
  <c r="F10" i="3"/>
  <c r="F14" i="3"/>
  <c r="F18" i="3"/>
  <c r="F4" i="3"/>
  <c r="F9" i="3"/>
  <c r="F13" i="3"/>
  <c r="F17" i="3"/>
  <c r="F7" i="3"/>
  <c r="F11" i="3"/>
  <c r="F15" i="3"/>
  <c r="F19" i="3"/>
  <c r="F8" i="3"/>
  <c r="F12" i="3"/>
  <c r="F16" i="3"/>
  <c r="F5" i="3"/>
  <c r="G3" i="3"/>
  <c r="G5" i="3" l="1"/>
  <c r="G9" i="3"/>
  <c r="G13" i="3"/>
  <c r="G17" i="3"/>
  <c r="G6" i="3"/>
  <c r="G10" i="3"/>
  <c r="G14" i="3"/>
  <c r="G18" i="3"/>
  <c r="G12" i="3"/>
  <c r="G7" i="3"/>
  <c r="G11" i="3"/>
  <c r="G15" i="3"/>
  <c r="G19" i="3"/>
  <c r="G4" i="3"/>
  <c r="G8" i="3"/>
  <c r="G16" i="3"/>
</calcChain>
</file>

<file path=xl/sharedStrings.xml><?xml version="1.0" encoding="utf-8"?>
<sst xmlns="http://schemas.openxmlformats.org/spreadsheetml/2006/main" count="34" uniqueCount="28">
  <si>
    <t>CONCLUÍDO</t>
  </si>
  <si>
    <t>FORCA (INTERNA) Não agendar externa</t>
  </si>
  <si>
    <t>FORÇA (EXTERNA)</t>
  </si>
  <si>
    <t>ENSAIO</t>
  </si>
  <si>
    <t>TORQUE</t>
  </si>
  <si>
    <t>Hora</t>
  </si>
  <si>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</si>
  <si>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</si>
  <si>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</si>
  <si>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</si>
  <si>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</si>
  <si>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</si>
  <si>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</si>
  <si>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</si>
  <si>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</si>
  <si>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Semana</t>
  </si>
  <si>
    <t>Ano</t>
  </si>
  <si>
    <t>Não</t>
  </si>
  <si>
    <t>Certificado / Relatório</t>
  </si>
  <si>
    <t>Escolha uma semana:</t>
  </si>
  <si>
    <t>Dimensional A</t>
  </si>
  <si>
    <t xml:space="preserve"> anel roscado cilíndrico - Ø até 250 mm com passo entre 0,75 e 6 mm</t>
  </si>
  <si>
    <t>Bruna Dieli de Borba</t>
  </si>
  <si>
    <t>Bloco padrão ( para calibração de micrômetro externo) - 2,5 mm até 25 mm</t>
  </si>
  <si>
    <t>Jorge Eduardo Rodrigues</t>
  </si>
  <si>
    <t>Bloco padrão (seção retangular) - 0,5 mm até 100 mm</t>
  </si>
  <si>
    <t>er</t>
  </si>
  <si>
    <t>2r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</si>
</sst>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h:mm\ AM/PM;@"/>
    <numFmt numFmtId="165" formatCode="[$-409]mmmm\ d\,\ yyyy;@"/>
    <numFmt numFmtId="166" formatCode="dd\ &quot;de&quot;\ mmmm\ &quot;de&quot;\ yyyy"/>
    <numFmt numFmtId="167" formatCode="dddd"/>
  </numFmts>
  <fonts count="19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4"/>
      <color theme="2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8"/>
      <name val="Calibri"/>
      <family val="1"/>
      <scheme val="minor"/>
    </font>
    <font>
      <sz val="10"/>
      <name val="Calibri"/>
      <family val="1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3" fillId="0" borderId="0">
      <alignment horizontal="right"/>
    </xf>
    <xf numFmtId="14" fontId="4" fillId="2" borderId="1">
      <alignment horizontal="left" vertical="center" wrapText="1" indent="1"/>
    </xf>
    <xf numFmtId="165" fontId="3" fillId="0" borderId="0">
      <alignment horizontal="left"/>
    </xf>
  </cellStyleXfs>
  <cellXfs count="30">
    <xf numFmtId="164" fontId="0" fillId="0" borderId="0" xfId="0">
      <alignment horizontal="left" vertical="center" indent="1"/>
    </xf>
    <xf numFmtId="164" fontId="5" fillId="8" borderId="0" xfId="0" applyFont="1" applyFill="1" applyBorder="1" applyAlignment="1">
      <alignment horizontal="center" vertical="center"/>
    </xf>
    <xf numFmtId="0" fontId="5" fillId="8" borderId="0" xfId="0" applyNumberFormat="1" applyFont="1" applyFill="1" applyBorder="1" applyAlignment="1">
      <alignment horizontal="left" vertical="center"/>
    </xf>
    <xf numFmtId="165" fontId="7" fillId="3" borderId="0" xfId="0" applyNumberFormat="1" applyFont="1" applyFill="1" applyBorder="1" applyAlignment="1">
      <alignment horizontal="center" vertical="center"/>
    </xf>
    <xf numFmtId="165" fontId="8" fillId="4" borderId="0" xfId="0" applyNumberFormat="1" applyFont="1" applyFill="1" applyBorder="1" applyAlignment="1">
      <alignment horizontal="center" vertical="center" wrapText="1"/>
    </xf>
    <xf numFmtId="165" fontId="7" fillId="5" borderId="0" xfId="0" applyNumberFormat="1" applyFont="1" applyFill="1" applyBorder="1" applyAlignment="1">
      <alignment horizontal="center" vertical="center" wrapText="1"/>
    </xf>
    <xf numFmtId="164" fontId="9" fillId="6" borderId="0" xfId="0" applyFont="1" applyFill="1" applyBorder="1" applyAlignment="1">
      <alignment horizontal="center" vertical="center"/>
    </xf>
    <xf numFmtId="164" fontId="10" fillId="7" borderId="0" xfId="0" applyFont="1" applyFill="1" applyBorder="1" applyAlignment="1">
      <alignment horizontal="center" vertical="center"/>
    </xf>
    <xf numFmtId="0" fontId="11" fillId="0" borderId="0" xfId="2" applyNumberFormat="1" applyFont="1">
      <alignment horizontal="right"/>
    </xf>
    <xf numFmtId="164" fontId="12" fillId="0" borderId="0" xfId="0" applyFont="1" applyFill="1" applyBorder="1" applyAlignment="1"/>
    <xf numFmtId="164" fontId="13" fillId="9" borderId="0" xfId="0" applyFont="1" applyFill="1" applyAlignment="1">
      <alignment horizontal="center" vertical="center"/>
    </xf>
    <xf numFmtId="164" fontId="13" fillId="9" borderId="0" xfId="0" applyFont="1" applyFill="1" applyAlignment="1">
      <alignment horizontal="center" vertical="center" wrapText="1"/>
    </xf>
    <xf numFmtId="164" fontId="14" fillId="0" borderId="0" xfId="0" applyFont="1">
      <alignment horizontal="left" vertical="center" indent="1"/>
    </xf>
    <xf numFmtId="164" fontId="14" fillId="0" borderId="0" xfId="0" applyFont="1" applyFill="1" applyBorder="1" applyAlignment="1">
      <alignment vertical="center"/>
    </xf>
    <xf numFmtId="0" fontId="14" fillId="0" borderId="0" xfId="0" applyNumberFormat="1" applyFont="1">
      <alignment horizontal="left" vertical="center" indent="1"/>
    </xf>
    <xf numFmtId="22" fontId="14" fillId="0" borderId="0" xfId="0" applyNumberFormat="1" applyFont="1">
      <alignment horizontal="left" vertical="center" indent="1"/>
    </xf>
    <xf numFmtId="22" fontId="14" fillId="0" borderId="0" xfId="0" applyNumberFormat="1" applyFont="1" applyAlignment="1">
      <alignment horizontal="left" vertical="center" wrapText="1" indent="1"/>
    </xf>
    <xf numFmtId="0" fontId="14" fillId="0" borderId="0" xfId="0" applyNumberFormat="1" applyFont="1" applyAlignment="1">
      <alignment horizontal="left" vertical="center" wrapText="1" indent="1"/>
    </xf>
    <xf numFmtId="164" fontId="14" fillId="0" borderId="0" xfId="0" applyFont="1" applyAlignment="1">
      <alignment horizontal="left" vertical="center" wrapText="1" indent="1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5" fillId="10" borderId="0" xfId="0" applyNumberFormat="1" applyFont="1" applyFill="1" applyBorder="1" applyAlignment="1">
      <alignment horizontal="center" vertical="center"/>
    </xf>
    <xf numFmtId="166" fontId="17" fillId="8" borderId="0" xfId="0" applyNumberFormat="1" applyFont="1" applyFill="1" applyBorder="1" applyAlignment="1">
      <alignment horizontal="center" vertical="center" wrapText="1"/>
    </xf>
    <xf numFmtId="167" fontId="17" fillId="8" borderId="0" xfId="0" applyNumberFormat="1" applyFont="1" applyFill="1" applyBorder="1" applyAlignment="1">
      <alignment horizontal="center" vertical="center" wrapText="1"/>
    </xf>
    <xf numFmtId="164" fontId="16" fillId="8" borderId="0" xfId="0" applyFont="1" applyFill="1" applyBorder="1" applyAlignment="1">
      <alignment horizontal="center" vertical="center"/>
    </xf>
    <xf numFmtId="164" fontId="18" fillId="0" borderId="0" xfId="0" applyFont="1">
      <alignment horizontal="left" vertical="center" indent="1"/>
    </xf>
    <xf numFmtId="22" fontId="5" fillId="8" borderId="0" xfId="0" applyNumberFormat="1" applyFont="1" applyFill="1" applyBorder="1" applyAlignment="1">
      <alignment horizontal="left" vertical="center"/>
    </xf>
    <xf numFmtId="0" fontId="0" fillId="0" borderId="0" xfId="0" applyNumberFormat="1" applyFont="1">
      <alignment horizontal="left" vertical="center" indent="1"/>
    </xf>
    <xf numFmtId="0" fontId="6" fillId="9" borderId="0" xfId="1" applyFont="1" applyFill="1" applyAlignment="1">
      <alignment horizontal="center" vertical="center"/>
    </xf>
    <xf numFmtId="164" fontId="16" fillId="8" borderId="0" xfId="0" applyFont="1" applyFill="1" applyBorder="1" applyAlignment="1">
      <alignment horizontal="center" vertical="center"/>
    </xf>
    <xf numFmtId="164" fontId="0" fillId="0" borderId="0" xfId="0" applyFont="1" applyAlignment="1">
      <alignment horizontal="left" vertical="center" wrapText="1" indent="1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4">
    <dxf>
      <fill>
        <patternFill>
          <bgColor theme="0" tint="-0.34998626667073579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3"/>
      <tableStyleElement type="headerRow" dxfId="2"/>
      <tableStyleElement type="firstColumn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3"/>
  <sheetViews>
    <sheetView workbookViewId="0">
      <selection activeCell="G7" sqref="G7"/>
    </sheetView>
  </sheetViews>
  <sheetFormatPr defaultRowHeight="12.75" x14ac:dyDescent="0.2"/>
  <cols>
    <col min="1" max="1" width="18.85546875" style="12" customWidth="1"/>
    <col min="2" max="2" width="13.28515625" style="14" customWidth="1"/>
    <col min="3" max="3" width="10" style="12" customWidth="1"/>
    <col min="4" max="4" width="22.28515625" style="12" customWidth="1"/>
    <col min="5" max="5" width="9.7109375" style="14" bestFit="1" customWidth="1"/>
    <col min="6" max="6" width="11.28515625" style="12" customWidth="1"/>
    <col min="7" max="7" width="28.85546875" style="12" customWidth="1"/>
    <col min="8" max="8" width="17.140625" style="12" customWidth="1"/>
    <col min="9" max="9" width="18.140625" style="12" bestFit="1" customWidth="1"/>
    <col min="10" max="10" width="18.140625" style="14" customWidth="1"/>
    <col min="11" max="11" width="9.140625" style="12"/>
    <col min="12" max="12" width="14" style="12" customWidth="1"/>
    <col min="13" max="14" width="9.140625" style="12"/>
    <col min="15" max="19" width="13.140625" style="12" customWidth="1"/>
    <col min="20" max="16384" width="9.140625" style="12"/>
  </cols>
  <sheetData>
    <row r="1" spans="1:16" s="9" customFormat="1" ht="35.25" customHeight="1" x14ac:dyDescent="0.2">
      <c r="A1" s="27" t="s">
        <v>20</v>
      </c>
      <c r="B1" s="27"/>
      <c r="C1" s="27"/>
      <c r="D1" s="27"/>
      <c r="E1" s="27"/>
      <c r="F1" s="27"/>
      <c r="G1" s="27"/>
      <c r="H1" s="27"/>
      <c r="I1" s="27"/>
      <c r="J1" s="27"/>
      <c r="K1" s="3" t="s">
        <v>0</v>
      </c>
      <c r="L1" s="4" t="s">
        <v>1</v>
      </c>
      <c r="M1" s="5" t="s">
        <v>2</v>
      </c>
      <c r="N1" s="6" t="s">
        <v>3</v>
      </c>
      <c r="O1" s="7" t="s">
        <v>4</v>
      </c>
      <c r="P1" s="8"/>
    </row>
    <row r="2" spans="1:16" s="13" customFormat="1" ht="25.5" x14ac:dyDescent="0.2">
      <c r="A2" s="10" t="s">
        <v>13</v>
      </c>
      <c r="B2" s="10" t="s">
        <v>6</v>
      </c>
      <c r="C2" s="11" t="s">
        <v>8</v>
      </c>
      <c r="D2" s="10" t="s">
        <v>14</v>
      </c>
      <c r="E2" s="10" t="s">
        <v>7</v>
      </c>
      <c r="F2" s="10" t="s">
        <v>9</v>
      </c>
      <c r="G2" s="11" t="s">
        <v>10</v>
      </c>
      <c r="H2" s="11" t="s">
        <v>11</v>
      </c>
      <c r="I2" s="11" t="s">
        <v>12</v>
      </c>
      <c r="J2" s="11" t="s">
        <v>18</v>
      </c>
      <c r="K2" s="12"/>
    </row>
    <row r="3" spans="1:16" ht="25.5" x14ac:dyDescent="0.2">
      <c r="A3" s="16">
        <v>42976.666666666664</v>
      </c>
      <c r="B3" s="17">
        <v>323</v>
      </c>
      <c r="C3" s="29"/>
      <c r="D3" s="18" t="s">
        <v>17</v>
      </c>
      <c r="E3" s="17">
        <v>352523</v>
      </c>
      <c r="F3" s="18"/>
      <c r="G3" s="18" t="s">
        <v>25</v>
      </c>
      <c r="H3" s="18" t="s">
        <v>24</v>
      </c>
      <c r="I3" s="18" t="s">
        <v>20</v>
      </c>
      <c r="J3" s="17"/>
    </row>
    <row r="4" spans="1:16" x14ac:dyDescent="0.2">
      <c r="A4" s="15">
        <v>42977.333333333336</v>
      </c>
      <c r="B4" s="17">
        <v>42342</v>
      </c>
      <c r="D4" s="12" t="s">
        <v>17</v>
      </c>
      <c r="E4" s="14">
        <v>4242</v>
      </c>
      <c r="G4" s="12" t="s">
        <v>23</v>
      </c>
      <c r="H4" s="12" t="s">
        <v>24</v>
      </c>
      <c r="I4" s="12" t="s">
        <v>20</v>
      </c>
    </row>
    <row r="5" spans="1:16" x14ac:dyDescent="0.2">
      <c r="A5" s="15">
        <v>42977.458333333336</v>
      </c>
      <c r="B5" s="17" t="s">
        <v>26</v>
      </c>
      <c r="D5" s="12" t="s">
        <v>17</v>
      </c>
      <c r="E5" s="14" t="s">
        <v>27</v>
      </c>
      <c r="G5" s="12" t="s">
        <v>21</v>
      </c>
      <c r="H5" s="12" t="s">
        <v>22</v>
      </c>
      <c r="I5" s="12" t="s">
        <v>20</v>
      </c>
    </row>
    <row r="6" spans="1:16" x14ac:dyDescent="0.2">
      <c r="A6" s="15"/>
      <c r="B6" s="17"/>
    </row>
    <row r="7" spans="1:16" x14ac:dyDescent="0.2">
      <c r="A7" s="15"/>
      <c r="B7" s="17"/>
    </row>
    <row r="8" spans="1:16" x14ac:dyDescent="0.2">
      <c r="A8" s="15"/>
      <c r="B8" s="17"/>
    </row>
    <row r="9" spans="1:16" x14ac:dyDescent="0.2">
      <c r="A9" s="15"/>
      <c r="B9" s="17"/>
    </row>
    <row r="10" spans="1:16" x14ac:dyDescent="0.2">
      <c r="A10" s="15"/>
      <c r="B10" s="17"/>
      <c r="J10" s="26"/>
    </row>
    <row r="11" spans="1:16" x14ac:dyDescent="0.2">
      <c r="A11" s="15"/>
      <c r="B11" s="17"/>
    </row>
    <row r="12" spans="1:16" x14ac:dyDescent="0.2">
      <c r="A12" s="15"/>
      <c r="B12" s="17"/>
    </row>
    <row r="13" spans="1:16" x14ac:dyDescent="0.2">
      <c r="A13" s="15"/>
      <c r="B13" s="17"/>
    </row>
    <row r="14" spans="1:16" x14ac:dyDescent="0.2">
      <c r="A14" s="15"/>
      <c r="B14" s="17"/>
    </row>
    <row r="15" spans="1:16" x14ac:dyDescent="0.2">
      <c r="A15" s="15"/>
      <c r="B15" s="17"/>
    </row>
    <row r="16" spans="1:16" x14ac:dyDescent="0.2">
      <c r="B16" s="17"/>
    </row>
    <row r="17" spans="2:2" x14ac:dyDescent="0.2">
      <c r="B17" s="17"/>
    </row>
    <row r="18" spans="2:2" x14ac:dyDescent="0.2">
      <c r="B18" s="17"/>
    </row>
    <row r="19" spans="2:2" x14ac:dyDescent="0.2">
      <c r="B19" s="17"/>
    </row>
    <row r="20" spans="2:2" x14ac:dyDescent="0.2">
      <c r="B20" s="17"/>
    </row>
    <row r="21" spans="2:2" x14ac:dyDescent="0.2">
      <c r="B21" s="17"/>
    </row>
    <row r="22" spans="2:2" x14ac:dyDescent="0.2">
      <c r="B22" s="17"/>
    </row>
    <row r="23" spans="2:2" x14ac:dyDescent="0.2">
      <c r="B23" s="17"/>
    </row>
    <row r="24" spans="2:2" x14ac:dyDescent="0.2">
      <c r="B24" s="17"/>
    </row>
    <row r="25" spans="2:2" x14ac:dyDescent="0.2">
      <c r="B25" s="17"/>
    </row>
    <row r="26" spans="2:2" x14ac:dyDescent="0.2">
      <c r="B26" s="17"/>
    </row>
    <row r="27" spans="2:2" x14ac:dyDescent="0.2">
      <c r="B27" s="17"/>
    </row>
    <row r="28" spans="2:2" x14ac:dyDescent="0.2">
      <c r="B28" s="17"/>
    </row>
    <row r="29" spans="2:2" x14ac:dyDescent="0.2">
      <c r="B29" s="17"/>
    </row>
    <row r="30" spans="2:2" x14ac:dyDescent="0.2">
      <c r="B30" s="17"/>
    </row>
    <row r="31" spans="2:2" x14ac:dyDescent="0.2">
      <c r="B31" s="17"/>
    </row>
    <row r="32" spans="2:2" x14ac:dyDescent="0.2">
      <c r="B32" s="17"/>
    </row>
    <row r="33" spans="2:2" x14ac:dyDescent="0.2">
      <c r="B33" s="17"/>
    </row>
    <row r="34" spans="2:2" x14ac:dyDescent="0.2">
      <c r="B34" s="17"/>
    </row>
    <row r="35" spans="2:2" x14ac:dyDescent="0.2">
      <c r="B35" s="17"/>
    </row>
    <row r="36" spans="2:2" x14ac:dyDescent="0.2">
      <c r="B36" s="17"/>
    </row>
    <row r="37" spans="2:2" x14ac:dyDescent="0.2">
      <c r="B37" s="17"/>
    </row>
    <row r="38" spans="2:2" x14ac:dyDescent="0.2">
      <c r="B38" s="17"/>
    </row>
    <row r="39" spans="2:2" x14ac:dyDescent="0.2">
      <c r="B39" s="17"/>
    </row>
    <row r="40" spans="2:2" x14ac:dyDescent="0.2">
      <c r="B40" s="17"/>
    </row>
    <row r="41" spans="2:2" x14ac:dyDescent="0.2">
      <c r="B41" s="17"/>
    </row>
    <row r="42" spans="2:2" x14ac:dyDescent="0.2">
      <c r="B42" s="17"/>
    </row>
    <row r="43" spans="2:2" x14ac:dyDescent="0.2">
      <c r="B43" s="17"/>
    </row>
    <row r="44" spans="2:2" x14ac:dyDescent="0.2">
      <c r="B44" s="17"/>
    </row>
    <row r="45" spans="2:2" x14ac:dyDescent="0.2">
      <c r="B45" s="17"/>
    </row>
    <row r="46" spans="2:2" x14ac:dyDescent="0.2">
      <c r="B46" s="17"/>
    </row>
    <row r="47" spans="2:2" x14ac:dyDescent="0.2">
      <c r="B47" s="17"/>
    </row>
    <row r="48" spans="2:2" x14ac:dyDescent="0.2">
      <c r="B48" s="17"/>
    </row>
    <row r="49" spans="2:2" x14ac:dyDescent="0.2">
      <c r="B49" s="17"/>
    </row>
    <row r="50" spans="2:2" x14ac:dyDescent="0.2">
      <c r="B50" s="17"/>
    </row>
    <row r="51" spans="2:2" x14ac:dyDescent="0.2">
      <c r="B51" s="17"/>
    </row>
    <row r="52" spans="2:2" x14ac:dyDescent="0.2">
      <c r="B52" s="17"/>
    </row>
    <row r="53" spans="2:2" x14ac:dyDescent="0.2">
      <c r="B53" s="17"/>
    </row>
    <row r="54" spans="2:2" x14ac:dyDescent="0.2">
      <c r="B54" s="17"/>
    </row>
    <row r="55" spans="2:2" x14ac:dyDescent="0.2">
      <c r="B55" s="17"/>
    </row>
    <row r="56" spans="2:2" x14ac:dyDescent="0.2">
      <c r="B56" s="17"/>
    </row>
    <row r="57" spans="2:2" x14ac:dyDescent="0.2">
      <c r="B57" s="17"/>
    </row>
    <row r="58" spans="2:2" x14ac:dyDescent="0.2">
      <c r="B58" s="17"/>
    </row>
    <row r="59" spans="2:2" x14ac:dyDescent="0.2">
      <c r="B59" s="17"/>
    </row>
    <row r="60" spans="2:2" x14ac:dyDescent="0.2">
      <c r="B60" s="17"/>
    </row>
    <row r="61" spans="2:2" x14ac:dyDescent="0.2">
      <c r="B61" s="17"/>
    </row>
    <row r="62" spans="2:2" x14ac:dyDescent="0.2">
      <c r="B62" s="17"/>
    </row>
    <row r="63" spans="2:2" x14ac:dyDescent="0.2">
      <c r="B63" s="17"/>
    </row>
    <row r="64" spans="2:2" x14ac:dyDescent="0.2">
      <c r="B64" s="17"/>
    </row>
    <row r="65" spans="2:2" x14ac:dyDescent="0.2">
      <c r="B65" s="17"/>
    </row>
    <row r="66" spans="2:2" x14ac:dyDescent="0.2">
      <c r="B66" s="17"/>
    </row>
    <row r="67" spans="2:2" x14ac:dyDescent="0.2">
      <c r="B67" s="17"/>
    </row>
    <row r="68" spans="2:2" x14ac:dyDescent="0.2">
      <c r="B68" s="17"/>
    </row>
    <row r="69" spans="2:2" x14ac:dyDescent="0.2">
      <c r="B69" s="17"/>
    </row>
    <row r="70" spans="2:2" x14ac:dyDescent="0.2">
      <c r="B70" s="17"/>
    </row>
    <row r="71" spans="2:2" x14ac:dyDescent="0.2">
      <c r="B71" s="17"/>
    </row>
    <row r="72" spans="2:2" x14ac:dyDescent="0.2">
      <c r="B72" s="17"/>
    </row>
    <row r="73" spans="2:2" x14ac:dyDescent="0.2">
      <c r="B73" s="17"/>
    </row>
    <row r="74" spans="2:2" x14ac:dyDescent="0.2">
      <c r="B74" s="17"/>
    </row>
    <row r="75" spans="2:2" x14ac:dyDescent="0.2">
      <c r="B75" s="17"/>
    </row>
    <row r="76" spans="2:2" x14ac:dyDescent="0.2">
      <c r="B76" s="17"/>
    </row>
    <row r="77" spans="2:2" x14ac:dyDescent="0.2">
      <c r="B77" s="17"/>
    </row>
    <row r="78" spans="2:2" x14ac:dyDescent="0.2">
      <c r="B78" s="17"/>
    </row>
    <row r="79" spans="2:2" x14ac:dyDescent="0.2">
      <c r="B79" s="17"/>
    </row>
    <row r="80" spans="2:2" x14ac:dyDescent="0.2">
      <c r="B80" s="17"/>
    </row>
    <row r="81" spans="2:2" x14ac:dyDescent="0.2">
      <c r="B81" s="17"/>
    </row>
    <row r="82" spans="2:2" x14ac:dyDescent="0.2">
      <c r="B82" s="17"/>
    </row>
    <row r="83" spans="2:2" x14ac:dyDescent="0.2">
      <c r="B83" s="17"/>
    </row>
    <row r="84" spans="2:2" x14ac:dyDescent="0.2">
      <c r="B84" s="17"/>
    </row>
    <row r="85" spans="2:2" x14ac:dyDescent="0.2">
      <c r="B85" s="17"/>
    </row>
    <row r="86" spans="2:2" x14ac:dyDescent="0.2">
      <c r="B86" s="17"/>
    </row>
    <row r="87" spans="2:2" x14ac:dyDescent="0.2">
      <c r="B87" s="17"/>
    </row>
    <row r="88" spans="2:2" x14ac:dyDescent="0.2">
      <c r="B88" s="17"/>
    </row>
    <row r="89" spans="2:2" x14ac:dyDescent="0.2">
      <c r="B89" s="17"/>
    </row>
    <row r="90" spans="2:2" x14ac:dyDescent="0.2">
      <c r="B90" s="17"/>
    </row>
    <row r="91" spans="2:2" x14ac:dyDescent="0.2">
      <c r="B91" s="17"/>
    </row>
    <row r="92" spans="2:2" x14ac:dyDescent="0.2">
      <c r="B92" s="17"/>
    </row>
    <row r="93" spans="2:2" x14ac:dyDescent="0.2">
      <c r="B93" s="17"/>
    </row>
    <row r="94" spans="2:2" x14ac:dyDescent="0.2">
      <c r="B94" s="17"/>
    </row>
    <row r="95" spans="2:2" x14ac:dyDescent="0.2">
      <c r="B95" s="17"/>
    </row>
    <row r="96" spans="2:2" x14ac:dyDescent="0.2">
      <c r="B96" s="17"/>
    </row>
    <row r="97" spans="2:2" x14ac:dyDescent="0.2">
      <c r="B97" s="17"/>
    </row>
    <row r="98" spans="2:2" x14ac:dyDescent="0.2">
      <c r="B98" s="17"/>
    </row>
    <row r="99" spans="2:2" x14ac:dyDescent="0.2">
      <c r="B99" s="17"/>
    </row>
    <row r="100" spans="2:2" x14ac:dyDescent="0.2">
      <c r="B100" s="17"/>
    </row>
    <row r="101" spans="2:2" x14ac:dyDescent="0.2">
      <c r="B101" s="17"/>
    </row>
    <row r="102" spans="2:2" x14ac:dyDescent="0.2">
      <c r="B102" s="17"/>
    </row>
    <row r="103" spans="2:2" x14ac:dyDescent="0.2">
      <c r="B103" s="17"/>
    </row>
    <row r="104" spans="2:2" x14ac:dyDescent="0.2">
      <c r="B104" s="17"/>
    </row>
    <row r="105" spans="2:2" x14ac:dyDescent="0.2">
      <c r="B105" s="17"/>
    </row>
    <row r="106" spans="2:2" x14ac:dyDescent="0.2">
      <c r="B106" s="17"/>
    </row>
    <row r="107" spans="2:2" x14ac:dyDescent="0.2">
      <c r="B107" s="17"/>
    </row>
    <row r="108" spans="2:2" x14ac:dyDescent="0.2">
      <c r="B108" s="17"/>
    </row>
    <row r="109" spans="2:2" x14ac:dyDescent="0.2">
      <c r="B109" s="17"/>
    </row>
    <row r="110" spans="2:2" x14ac:dyDescent="0.2">
      <c r="B110" s="17"/>
    </row>
    <row r="111" spans="2:2" x14ac:dyDescent="0.2">
      <c r="B111" s="17"/>
    </row>
    <row r="112" spans="2:2" x14ac:dyDescent="0.2">
      <c r="B112" s="17"/>
    </row>
    <row r="113" spans="2:2" x14ac:dyDescent="0.2">
      <c r="B113" s="17"/>
    </row>
    <row r="114" spans="2:2" x14ac:dyDescent="0.2">
      <c r="B114" s="17"/>
    </row>
    <row r="115" spans="2:2" x14ac:dyDescent="0.2">
      <c r="B115" s="17"/>
    </row>
    <row r="116" spans="2:2" x14ac:dyDescent="0.2">
      <c r="B116" s="17"/>
    </row>
    <row r="117" spans="2:2" x14ac:dyDescent="0.2">
      <c r="B117" s="17"/>
    </row>
    <row r="118" spans="2:2" x14ac:dyDescent="0.2">
      <c r="B118" s="17"/>
    </row>
    <row r="119" spans="2:2" x14ac:dyDescent="0.2">
      <c r="B119" s="17"/>
    </row>
    <row r="120" spans="2:2" x14ac:dyDescent="0.2">
      <c r="B120" s="17"/>
    </row>
    <row r="121" spans="2:2" x14ac:dyDescent="0.2">
      <c r="B121" s="17"/>
    </row>
    <row r="122" spans="2:2" x14ac:dyDescent="0.2">
      <c r="B122" s="17"/>
    </row>
    <row r="123" spans="2:2" x14ac:dyDescent="0.2">
      <c r="B123" s="17"/>
    </row>
    <row r="124" spans="2:2" x14ac:dyDescent="0.2">
      <c r="B124" s="17"/>
    </row>
    <row r="125" spans="2:2" x14ac:dyDescent="0.2">
      <c r="B125" s="17"/>
    </row>
    <row r="126" spans="2:2" x14ac:dyDescent="0.2">
      <c r="B126" s="17"/>
    </row>
    <row r="127" spans="2:2" x14ac:dyDescent="0.2">
      <c r="B127" s="17"/>
    </row>
    <row r="128" spans="2:2" x14ac:dyDescent="0.2">
      <c r="B128" s="17"/>
    </row>
    <row r="129" spans="2:2" x14ac:dyDescent="0.2">
      <c r="B129" s="17"/>
    </row>
    <row r="130" spans="2:2" x14ac:dyDescent="0.2">
      <c r="B130" s="17"/>
    </row>
    <row r="131" spans="2:2" x14ac:dyDescent="0.2">
      <c r="B131" s="17"/>
    </row>
    <row r="132" spans="2:2" x14ac:dyDescent="0.2">
      <c r="B132" s="17"/>
    </row>
    <row r="133" spans="2:2" x14ac:dyDescent="0.2">
      <c r="B133" s="17"/>
    </row>
    <row r="134" spans="2:2" x14ac:dyDescent="0.2">
      <c r="B134" s="17"/>
    </row>
    <row r="135" spans="2:2" x14ac:dyDescent="0.2">
      <c r="B135" s="17"/>
    </row>
    <row r="136" spans="2:2" x14ac:dyDescent="0.2">
      <c r="B136" s="17"/>
    </row>
    <row r="137" spans="2:2" x14ac:dyDescent="0.2">
      <c r="B137" s="17"/>
    </row>
    <row r="138" spans="2:2" x14ac:dyDescent="0.2">
      <c r="B138" s="17"/>
    </row>
    <row r="139" spans="2:2" x14ac:dyDescent="0.2">
      <c r="B139" s="17"/>
    </row>
    <row r="140" spans="2:2" x14ac:dyDescent="0.2">
      <c r="B140" s="17"/>
    </row>
    <row r="141" spans="2:2" x14ac:dyDescent="0.2">
      <c r="B141" s="17"/>
    </row>
    <row r="142" spans="2:2" x14ac:dyDescent="0.2">
      <c r="B142" s="17"/>
    </row>
    <row r="143" spans="2:2" x14ac:dyDescent="0.2">
      <c r="B143" s="17"/>
    </row>
    <row r="144" spans="2:2" x14ac:dyDescent="0.2">
      <c r="B144" s="17"/>
    </row>
    <row r="145" spans="2:2" x14ac:dyDescent="0.2">
      <c r="B145" s="17"/>
    </row>
    <row r="146" spans="2:2" x14ac:dyDescent="0.2">
      <c r="B146" s="17"/>
    </row>
    <row r="147" spans="2:2" x14ac:dyDescent="0.2">
      <c r="B147" s="17"/>
    </row>
    <row r="148" spans="2:2" x14ac:dyDescent="0.2">
      <c r="B148" s="17"/>
    </row>
    <row r="149" spans="2:2" x14ac:dyDescent="0.2">
      <c r="B149" s="17"/>
    </row>
    <row r="150" spans="2:2" x14ac:dyDescent="0.2">
      <c r="B150" s="17"/>
    </row>
    <row r="151" spans="2:2" x14ac:dyDescent="0.2">
      <c r="B151" s="17"/>
    </row>
    <row r="152" spans="2:2" x14ac:dyDescent="0.2">
      <c r="B152" s="17"/>
    </row>
    <row r="153" spans="2:2" x14ac:dyDescent="0.2">
      <c r="B153" s="17"/>
    </row>
    <row r="154" spans="2:2" x14ac:dyDescent="0.2">
      <c r="B154" s="17"/>
    </row>
    <row r="155" spans="2:2" x14ac:dyDescent="0.2">
      <c r="B155" s="17"/>
    </row>
    <row r="156" spans="2:2" x14ac:dyDescent="0.2">
      <c r="B156" s="17"/>
    </row>
    <row r="157" spans="2:2" x14ac:dyDescent="0.2">
      <c r="B157" s="17"/>
    </row>
    <row r="158" spans="2:2" x14ac:dyDescent="0.2">
      <c r="B158" s="17"/>
    </row>
    <row r="159" spans="2:2" x14ac:dyDescent="0.2">
      <c r="B159" s="17"/>
    </row>
    <row r="160" spans="2:2" x14ac:dyDescent="0.2">
      <c r="B160" s="17"/>
    </row>
    <row r="161" spans="2:2" x14ac:dyDescent="0.2">
      <c r="B161" s="17"/>
    </row>
    <row r="162" spans="2:2" x14ac:dyDescent="0.2">
      <c r="B162" s="17"/>
    </row>
    <row r="163" spans="2:2" x14ac:dyDescent="0.2">
      <c r="B163" s="17"/>
    </row>
    <row r="164" spans="2:2" x14ac:dyDescent="0.2">
      <c r="B164" s="17"/>
    </row>
    <row r="165" spans="2:2" x14ac:dyDescent="0.2">
      <c r="B165" s="17"/>
    </row>
    <row r="166" spans="2:2" x14ac:dyDescent="0.2">
      <c r="B166" s="17"/>
    </row>
    <row r="167" spans="2:2" x14ac:dyDescent="0.2">
      <c r="B167" s="17"/>
    </row>
    <row r="168" spans="2:2" x14ac:dyDescent="0.2">
      <c r="B168" s="17"/>
    </row>
    <row r="169" spans="2:2" x14ac:dyDescent="0.2">
      <c r="B169" s="17"/>
    </row>
    <row r="170" spans="2:2" x14ac:dyDescent="0.2">
      <c r="B170" s="17"/>
    </row>
    <row r="171" spans="2:2" x14ac:dyDescent="0.2">
      <c r="B171" s="17"/>
    </row>
    <row r="172" spans="2:2" x14ac:dyDescent="0.2">
      <c r="B172" s="17"/>
    </row>
    <row r="173" spans="2:2" x14ac:dyDescent="0.2">
      <c r="B173" s="17"/>
    </row>
    <row r="174" spans="2:2" x14ac:dyDescent="0.2">
      <c r="B174" s="17"/>
    </row>
    <row r="175" spans="2:2" x14ac:dyDescent="0.2">
      <c r="B175" s="17"/>
    </row>
    <row r="176" spans="2:2" x14ac:dyDescent="0.2">
      <c r="B176" s="17"/>
    </row>
    <row r="177" spans="2:2" x14ac:dyDescent="0.2">
      <c r="B177" s="17"/>
    </row>
    <row r="178" spans="2:2" x14ac:dyDescent="0.2">
      <c r="B178" s="17"/>
    </row>
    <row r="179" spans="2:2" x14ac:dyDescent="0.2">
      <c r="B179" s="17"/>
    </row>
    <row r="180" spans="2:2" x14ac:dyDescent="0.2">
      <c r="B180" s="17"/>
    </row>
    <row r="181" spans="2:2" x14ac:dyDescent="0.2">
      <c r="B181" s="17"/>
    </row>
    <row r="182" spans="2:2" x14ac:dyDescent="0.2">
      <c r="B182" s="17"/>
    </row>
    <row r="183" spans="2:2" x14ac:dyDescent="0.2">
      <c r="B183" s="17"/>
    </row>
    <row r="184" spans="2:2" x14ac:dyDescent="0.2">
      <c r="B184" s="17"/>
    </row>
    <row r="185" spans="2:2" x14ac:dyDescent="0.2">
      <c r="B185" s="17"/>
    </row>
    <row r="186" spans="2:2" x14ac:dyDescent="0.2">
      <c r="B186" s="17"/>
    </row>
    <row r="187" spans="2:2" x14ac:dyDescent="0.2">
      <c r="B187" s="17"/>
    </row>
    <row r="188" spans="2:2" x14ac:dyDescent="0.2">
      <c r="B188" s="17"/>
    </row>
    <row r="189" spans="2:2" x14ac:dyDescent="0.2">
      <c r="B189" s="17"/>
    </row>
    <row r="190" spans="2:2" x14ac:dyDescent="0.2">
      <c r="B190" s="17"/>
    </row>
    <row r="191" spans="2:2" x14ac:dyDescent="0.2">
      <c r="B191" s="17"/>
    </row>
    <row r="192" spans="2:2" x14ac:dyDescent="0.2">
      <c r="B192" s="17"/>
    </row>
    <row r="193" spans="2:2" x14ac:dyDescent="0.2">
      <c r="B193" s="17"/>
    </row>
    <row r="194" spans="2:2" x14ac:dyDescent="0.2">
      <c r="B194" s="17"/>
    </row>
    <row r="195" spans="2:2" x14ac:dyDescent="0.2">
      <c r="B195" s="17"/>
    </row>
    <row r="196" spans="2:2" x14ac:dyDescent="0.2">
      <c r="B196" s="17"/>
    </row>
    <row r="197" spans="2:2" x14ac:dyDescent="0.2">
      <c r="B197" s="17"/>
    </row>
    <row r="198" spans="2:2" x14ac:dyDescent="0.2">
      <c r="B198" s="17"/>
    </row>
    <row r="199" spans="2:2" x14ac:dyDescent="0.2">
      <c r="B199" s="17"/>
    </row>
    <row r="200" spans="2:2" x14ac:dyDescent="0.2">
      <c r="B200" s="17"/>
    </row>
    <row r="201" spans="2:2" x14ac:dyDescent="0.2">
      <c r="B201" s="17"/>
    </row>
    <row r="202" spans="2:2" x14ac:dyDescent="0.2">
      <c r="B202" s="17"/>
    </row>
    <row r="203" spans="2:2" x14ac:dyDescent="0.2">
      <c r="B203" s="17"/>
    </row>
    <row r="204" spans="2:2" x14ac:dyDescent="0.2">
      <c r="B204" s="17"/>
    </row>
    <row r="205" spans="2:2" x14ac:dyDescent="0.2">
      <c r="B205" s="17"/>
    </row>
    <row r="206" spans="2:2" x14ac:dyDescent="0.2">
      <c r="B206" s="17"/>
    </row>
    <row r="207" spans="2:2" x14ac:dyDescent="0.2">
      <c r="B207" s="17"/>
    </row>
    <row r="208" spans="2:2" x14ac:dyDescent="0.2">
      <c r="B208" s="17"/>
    </row>
    <row r="209" spans="2:2" x14ac:dyDescent="0.2">
      <c r="B209" s="17"/>
    </row>
    <row r="210" spans="2:2" x14ac:dyDescent="0.2">
      <c r="B210" s="17"/>
    </row>
    <row r="211" spans="2:2" x14ac:dyDescent="0.2">
      <c r="B211" s="17"/>
    </row>
    <row r="212" spans="2:2" x14ac:dyDescent="0.2">
      <c r="B212" s="17"/>
    </row>
    <row r="213" spans="2:2" x14ac:dyDescent="0.2">
      <c r="B213" s="17"/>
    </row>
  </sheetData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tabSelected="1" zoomScale="70" zoomScaleNormal="70" workbookViewId="0">
      <selection activeCell="G3" sqref="G3"/>
    </sheetView>
  </sheetViews>
  <sheetFormatPr defaultRowHeight="12.75" x14ac:dyDescent="0.2"/>
  <cols>
    <col min="1" max="1" width="12.140625" bestFit="1" customWidth="1"/>
    <col min="2" max="8" width="30.7109375" customWidth="1"/>
  </cols>
  <sheetData>
    <row r="1" spans="1:7" ht="18.75" x14ac:dyDescent="0.2">
      <c r="A1" s="1" t="s">
        <v>16</v>
      </c>
      <c r="B1" s="2">
        <v>2017</v>
      </c>
      <c r="C1" s="1"/>
      <c r="D1" s="2"/>
      <c r="E1" s="1"/>
      <c r="F1" s="2"/>
      <c r="G1" s="1"/>
    </row>
    <row r="2" spans="1:7" ht="18.75" x14ac:dyDescent="0.2">
      <c r="A2" s="1" t="s">
        <v>15</v>
      </c>
      <c r="B2" s="2">
        <f ca="1">WEEKNUM(NOW())</f>
        <v>35</v>
      </c>
      <c r="C2" s="1"/>
      <c r="D2" s="25"/>
      <c r="E2" s="1"/>
      <c r="F2" s="2" t="s">
        <v>19</v>
      </c>
      <c r="G2" s="20"/>
    </row>
    <row r="3" spans="1:7" ht="21" x14ac:dyDescent="0.2">
      <c r="A3" s="28" t="s">
        <v>5</v>
      </c>
      <c r="B3" s="21">
        <f ca="1">IF(G2="",DATE(B1,1,1)+B2*7-6,DATE(B1,1,1)+G2*7-6)</f>
        <v>42975</v>
      </c>
      <c r="C3" s="21">
        <f ca="1">B3+1</f>
        <v>42976</v>
      </c>
      <c r="D3" s="21">
        <f ca="1">C3+1</f>
        <v>42977</v>
      </c>
      <c r="E3" s="21">
        <f ca="1">D3+1</f>
        <v>42978</v>
      </c>
      <c r="F3" s="21">
        <f ca="1">E3+1</f>
        <v>42979</v>
      </c>
      <c r="G3" s="21">
        <f ca="1">F3+1</f>
        <v>42980</v>
      </c>
    </row>
    <row r="4" spans="1:7" ht="21" x14ac:dyDescent="0.2">
      <c r="A4" s="28"/>
      <c r="B4" s="22">
        <f ca="1">WEEKDAY(B3)</f>
        <v>2</v>
      </c>
      <c r="C4" s="22">
        <f t="shared" ref="C4:G4" ca="1" si="0">WEEKDAY(C3)</f>
        <v>3</v>
      </c>
      <c r="D4" s="22">
        <f t="shared" ca="1" si="0"/>
        <v>4</v>
      </c>
      <c r="E4" s="22">
        <f t="shared" ca="1" si="0"/>
        <v>5</v>
      </c>
      <c r="F4" s="22">
        <f t="shared" ca="1" si="0"/>
        <v>6</v>
      </c>
      <c r="G4" s="22">
        <f t="shared" ca="1" si="0"/>
        <v>7</v>
      </c>
    </row>
    <row r="5" spans="1:7" ht="30" customHeight="1" x14ac:dyDescent="0.2">
      <c r="A5" s="23">
        <v>0.29166666666666669</v>
      </c>
      <c r="B5" s="19" t="str">
        <f ca="1">IF(ISERROR(VLOOKUP(B$3+$A5,Resumo!$A$3:$G$228,2,0)),"",(CONCATENATE(VLOOKUP(B$3+$A5,Resumo!$A$3:$G$228,2,0),"  -  ",(VLOOKUP(B$3+$A5,Resumo!$A$3:$G$228,7,0))," - ",(VLOOKUP(B$3+$A5,Resumo!$A$3:$G$228,3,0)))))</f>
        <v/>
      </c>
      <c r="C5" s="19" t="str">
        <f ca="1">IF(ISERROR(VLOOKUP(C$3+$A5,Resumo!$A$3:$G$228,2,0)),"",(CONCATENATE(VLOOKUP(C$3+$A5,Resumo!$A$3:$G$228,2,0),"  -  ",(VLOOKUP(C$3+$A5,Resumo!$A$3:$G$228,7,0))," - ",(VLOOKUP(C$3+$A5,Resumo!$A$3:$G$228,3,0)))))</f>
        <v/>
      </c>
      <c r="D5" s="19" t="str">
        <f ca="1">IF(ISERROR(VLOOKUP(D$3+$A5,Resumo!$A$3:$G$228,2,0)),"",(CONCATENATE(VLOOKUP(D$3+$A5,Resumo!$A$3:$G$228,2,0),"  -  ",(VLOOKUP(D$3+$A5,Resumo!$A$3:$G$228,7,0))," - ",(VLOOKUP(D$3+$A5,Resumo!$A$3:$G$228,3,0)))))</f>
        <v/>
      </c>
      <c r="E5" s="19" t="str">
        <f ca="1">IF(ISERROR(VLOOKUP(E$3+$A5,Resumo!$A$3:$G$228,2,0)),"",(CONCATENATE(VLOOKUP(E$3+$A5,Resumo!$A$3:$G$228,2,0),"  -  ",(VLOOKUP(E$3+$A5,Resumo!$A$3:$G$228,7,0))," - ",(VLOOKUP(E$3+$A5,Resumo!$A$3:$G$228,3,0)))))</f>
        <v/>
      </c>
      <c r="F5" s="19" t="str">
        <f ca="1">IF(ISERROR(VLOOKUP(F$3+$A5,Resumo!$A$3:$G$228,2,0)),"",(CONCATENATE(VLOOKUP(F$3+$A5,Resumo!$A$3:$G$228,2,0),"  -  ",(VLOOKUP(F$3+$A5,Resumo!$A$3:$G$228,7,0))," - ",(VLOOKUP(F$3+$A5,Resumo!$A$3:$G$228,3,0)))))</f>
        <v/>
      </c>
      <c r="G5" s="19" t="str">
        <f ca="1">IF(ISERROR(VLOOKUP(G$3+$A5,Resumo!$A$3:$G$228,2,0)),"",(CONCATENATE(VLOOKUP(G$3+$A5,Resumo!$A$3:$G$228,2,0),"  -  ",(VLOOKUP(G$3+$A5,Resumo!$A$3:$G$228,7,0))," - ",(VLOOKUP(G$3+$A5,Resumo!$A$3:$G$228,3,0)))))</f>
        <v/>
      </c>
    </row>
    <row r="6" spans="1:7" ht="40.5" customHeight="1" x14ac:dyDescent="0.2">
      <c r="A6" s="23">
        <v>0.33333333333333298</v>
      </c>
      <c r="B6" s="19" t="str">
        <f ca="1">IF(ISERROR(VLOOKUP(B$3+$A6,Resumo!$A$3:$G$228,2,0)),"",(CONCATENATE(VLOOKUP(B$3+$A6,Resumo!$A$3:$G$228,2,0),"  -  ",(VLOOKUP(B$3+$A6,Resumo!$A$3:$G$228,7,0))," - ",(VLOOKUP(B$3+$A6,Resumo!$A$3:$G$228,3,0)))))</f>
        <v/>
      </c>
      <c r="C6" s="19" t="str">
        <f ca="1">IF(ISERROR(VLOOKUP(C$3+$A6,Resumo!$A$3:$G$228,2,0)),"",(CONCATENATE(VLOOKUP(C$3+$A6,Resumo!$A$3:$G$228,2,0),"  -  ",(VLOOKUP(C$3+$A6,Resumo!$A$3:$G$228,7,0))," - ",(VLOOKUP(C$3+$A6,Resumo!$A$3:$G$228,3,0)))))</f>
        <v/>
      </c>
      <c r="D6" s="19" t="str">
        <f ca="1">IF(ISERROR(VLOOKUP(D$3+$A6,Resumo!$A$3:$G$228,2,0)),"",(CONCATENATE(VLOOKUP(D$3+$A6,Resumo!$A$3:$G$228,2,0),"  -  ",(VLOOKUP(D$3+$A6,Resumo!$A$3:$G$228,7,0))," - ",(VLOOKUP(D$3+$A6,Resumo!$A$3:$G$228,3,0)))))</f>
        <v xml:space="preserve">42342  -  Bloco padrão ( para calibração de micrômetro externo) - 2,5 mm até 25 mm - </v>
      </c>
      <c r="E6" s="19" t="str">
        <f ca="1">IF(ISERROR(VLOOKUP(E$3+$A6,Resumo!$A$3:$G$228,2,0)),"",(CONCATENATE(VLOOKUP(E$3+$A6,Resumo!$A$3:$G$228,2,0),"  -  ",(VLOOKUP(E$3+$A6,Resumo!$A$3:$G$228,7,0))," - ",(VLOOKUP(E$3+$A6,Resumo!$A$3:$G$228,3,0)))))</f>
        <v/>
      </c>
      <c r="F6" s="19" t="str">
        <f ca="1">IF(ISERROR(VLOOKUP(F$3+$A6,Resumo!$A$3:$G$228,2,0)),"",(CONCATENATE(VLOOKUP(F$3+$A6,Resumo!$A$3:$G$228,2,0),"  -  ",(VLOOKUP(F$3+$A6,Resumo!$A$3:$G$228,7,0))," - ",(VLOOKUP(F$3+$A6,Resumo!$A$3:$G$228,3,0)))))</f>
        <v/>
      </c>
      <c r="G6" s="19" t="str">
        <f ca="1">IF(ISERROR(VLOOKUP(G$3+$A6,Resumo!$A$3:$G$228,2,0)),"",(CONCATENATE(VLOOKUP(G$3+$A6,Resumo!$A$3:$G$228,2,0),"  -  ",(VLOOKUP(G$3+$A6,Resumo!$A$3:$G$228,7,0))," - ",(VLOOKUP(G$3+$A6,Resumo!$A$3:$G$228,3,0)))))</f>
        <v/>
      </c>
    </row>
    <row r="7" spans="1:7" ht="40.5" customHeight="1" x14ac:dyDescent="0.2">
      <c r="A7" s="23">
        <v>0.375</v>
      </c>
      <c r="B7" s="19" t="str">
        <f ca="1">IF(ISERROR(VLOOKUP(B$3+$A7,Resumo!$A$3:$G$228,2,0)),"",(CONCATENATE(VLOOKUP(B$3+$A7,Resumo!$A$3:$G$228,2,0),"  -  ",(VLOOKUP(B$3+$A7,Resumo!$A$3:$G$228,7,0))," - ",(VLOOKUP(B$3+$A7,Resumo!$A$3:$G$228,3,0)))))</f>
        <v/>
      </c>
      <c r="C7" s="19" t="str">
        <f ca="1">IF(ISERROR(VLOOKUP(C$3+$A7,Resumo!$A$3:$G$228,2,0)),"",(CONCATENATE(VLOOKUP(C$3+$A7,Resumo!$A$3:$G$228,2,0),"  -  ",(VLOOKUP(C$3+$A7,Resumo!$A$3:$G$228,7,0))," - ",(VLOOKUP(C$3+$A7,Resumo!$A$3:$G$228,3,0)))))</f>
        <v/>
      </c>
      <c r="D7" s="19" t="str">
        <f ca="1">IF(ISERROR(VLOOKUP(D$3+$A7,Resumo!$A$3:$G$228,2,0)),"",(CONCATENATE(VLOOKUP(D$3+$A7,Resumo!$A$3:$G$228,2,0),"  -  ",(VLOOKUP(D$3+$A7,Resumo!$A$3:$G$228,7,0))," - ",(VLOOKUP(D$3+$A7,Resumo!$A$3:$G$228,3,0)))))</f>
        <v/>
      </c>
      <c r="E7" s="19" t="str">
        <f ca="1">IF(ISERROR(VLOOKUP(E$3+$A7,Resumo!$A$3:$G$228,2,0)),"",(CONCATENATE(VLOOKUP(E$3+$A7,Resumo!$A$3:$G$228,2,0),"  -  ",(VLOOKUP(E$3+$A7,Resumo!$A$3:$G$228,7,0))," - ",(VLOOKUP(E$3+$A7,Resumo!$A$3:$G$228,3,0)))))</f>
        <v/>
      </c>
      <c r="F7" s="19" t="str">
        <f ca="1">IF(ISERROR(VLOOKUP(F$3+$A7,Resumo!$A$3:$G$228,2,0)),"",(CONCATENATE(VLOOKUP(F$3+$A7,Resumo!$A$3:$G$228,2,0),"  -  ",(VLOOKUP(F$3+$A7,Resumo!$A$3:$G$228,7,0))," - ",(VLOOKUP(F$3+$A7,Resumo!$A$3:$G$228,3,0)))))</f>
        <v/>
      </c>
      <c r="G7" s="19" t="str">
        <f ca="1">IF(ISERROR(VLOOKUP(G$3+$A7,Resumo!$A$3:$G$228,2,0)),"",(CONCATENATE(VLOOKUP(G$3+$A7,Resumo!$A$3:$G$228,2,0),"  -  ",(VLOOKUP(G$3+$A7,Resumo!$A$3:$G$228,7,0))," - ",(VLOOKUP(G$3+$A7,Resumo!$A$3:$G$228,3,0)))))</f>
        <v/>
      </c>
    </row>
    <row r="8" spans="1:7" ht="40.5" customHeight="1" x14ac:dyDescent="0.2">
      <c r="A8" s="23">
        <v>0.41666666666666702</v>
      </c>
      <c r="B8" s="19" t="str">
        <f ca="1">IF(ISERROR(VLOOKUP(B$3+$A8,Resumo!$A$3:$G$228,2,0)),"",(CONCATENATE(VLOOKUP(B$3+$A8,Resumo!$A$3:$G$228,2,0),"  -  ",(VLOOKUP(B$3+$A8,Resumo!$A$3:$G$228,7,0))," - ",(VLOOKUP(B$3+$A8,Resumo!$A$3:$G$228,3,0)))))</f>
        <v/>
      </c>
      <c r="C8" s="19" t="str">
        <f ca="1">IF(ISERROR(VLOOKUP(C$3+$A8,Resumo!$A$3:$G$228,2,0)),"",(CONCATENATE(VLOOKUP(C$3+$A8,Resumo!$A$3:$G$228,2,0),"  -  ",(VLOOKUP(C$3+$A8,Resumo!$A$3:$G$228,7,0))," - ",(VLOOKUP(C$3+$A8,Resumo!$A$3:$G$228,3,0)))))</f>
        <v/>
      </c>
      <c r="D8" s="19" t="str">
        <f ca="1">IF(ISERROR(VLOOKUP(D$3+$A8,Resumo!$A$3:$G$228,2,0)),"",(CONCATENATE(VLOOKUP(D$3+$A8,Resumo!$A$3:$G$228,2,0),"  -  ",(VLOOKUP(D$3+$A8,Resumo!$A$3:$G$228,7,0))," - ",(VLOOKUP(D$3+$A8,Resumo!$A$3:$G$228,3,0)))))</f>
        <v/>
      </c>
      <c r="E8" s="19" t="str">
        <f ca="1">IF(ISERROR(VLOOKUP(E$3+$A8,Resumo!$A$3:$G$228,2,0)),"",(CONCATENATE(VLOOKUP(E$3+$A8,Resumo!$A$3:$G$228,2,0),"  -  ",(VLOOKUP(E$3+$A8,Resumo!$A$3:$G$228,7,0))," - ",(VLOOKUP(E$3+$A8,Resumo!$A$3:$G$228,3,0)))))</f>
        <v/>
      </c>
      <c r="F8" s="19" t="str">
        <f ca="1">IF(ISERROR(VLOOKUP(F$3+$A8,Resumo!$A$3:$G$228,2,0)),"",(CONCATENATE(VLOOKUP(F$3+$A8,Resumo!$A$3:$G$228,2,0),"  -  ",(VLOOKUP(F$3+$A8,Resumo!$A$3:$G$228,7,0))," - ",(VLOOKUP(F$3+$A8,Resumo!$A$3:$G$228,3,0)))))</f>
        <v/>
      </c>
      <c r="G8" s="19" t="str">
        <f ca="1">IF(ISERROR(VLOOKUP(G$3+$A8,Resumo!$A$3:$G$228,2,0)),"",(CONCATENATE(VLOOKUP(G$3+$A8,Resumo!$A$3:$G$228,2,0),"  -  ",(VLOOKUP(G$3+$A8,Resumo!$A$3:$G$228,7,0))," - ",(VLOOKUP(G$3+$A8,Resumo!$A$3:$G$228,3,0)))))</f>
        <v/>
      </c>
    </row>
    <row r="9" spans="1:7" ht="40.5" customHeight="1" x14ac:dyDescent="0.2">
      <c r="A9" s="23">
        <v>0.45833333333333298</v>
      </c>
      <c r="B9" s="19" t="str">
        <f ca="1">IF(ISERROR(VLOOKUP(B$3+$A9,Resumo!$A$3:$G$228,2,0)),"",(CONCATENATE(VLOOKUP(B$3+$A9,Resumo!$A$3:$G$228,2,0),"  -  ",(VLOOKUP(B$3+$A9,Resumo!$A$3:$G$228,7,0))," - ",(VLOOKUP(B$3+$A9,Resumo!$A$3:$G$228,3,0)))))</f>
        <v/>
      </c>
      <c r="C9" s="19" t="str">
        <f ca="1">IF(ISERROR(VLOOKUP(C$3+$A9,Resumo!$A$3:$G$228,2,0)),"",(CONCATENATE(VLOOKUP(C$3+$A9,Resumo!$A$3:$G$228,2,0),"  -  ",(VLOOKUP(C$3+$A9,Resumo!$A$3:$G$228,7,0))," - ",(VLOOKUP(C$3+$A9,Resumo!$A$3:$G$228,3,0)))))</f>
        <v/>
      </c>
      <c r="D9" s="19" t="str">
        <f ca="1">IF(ISERROR(VLOOKUP(D$3+$A9,Resumo!$A$3:$G$228,2,0)),"",(CONCATENATE(VLOOKUP(D$3+$A9,Resumo!$A$3:$G$228,2,0),"  -  ",(VLOOKUP(D$3+$A9,Resumo!$A$3:$G$228,7,0))," - ",(VLOOKUP(D$3+$A9,Resumo!$A$3:$G$228,3,0)))))</f>
        <v xml:space="preserve">er  -   anel roscado cilíndrico - Ø até 250 mm com passo entre 0,75 e 6 mm - </v>
      </c>
      <c r="E9" s="19" t="str">
        <f ca="1">IF(ISERROR(VLOOKUP(E$3+$A9,Resumo!$A$3:$G$228,2,0)),"",(CONCATENATE(VLOOKUP(E$3+$A9,Resumo!$A$3:$G$228,2,0),"  -  ",(VLOOKUP(E$3+$A9,Resumo!$A$3:$G$228,7,0))," - ",(VLOOKUP(E$3+$A9,Resumo!$A$3:$G$228,3,0)))))</f>
        <v/>
      </c>
      <c r="F9" s="19" t="str">
        <f ca="1">IF(ISERROR(VLOOKUP(F$3+$A9,Resumo!$A$3:$G$228,2,0)),"",(CONCATENATE(VLOOKUP(F$3+$A9,Resumo!$A$3:$G$228,2,0),"  -  ",(VLOOKUP(F$3+$A9,Resumo!$A$3:$G$228,7,0))," - ",(VLOOKUP(F$3+$A9,Resumo!$A$3:$G$228,3,0)))))</f>
        <v/>
      </c>
      <c r="G9" s="19" t="str">
        <f ca="1">IF(ISERROR(VLOOKUP(G$3+$A9,Resumo!$A$3:$G$228,2,0)),"",(CONCATENATE(VLOOKUP(G$3+$A9,Resumo!$A$3:$G$228,2,0),"  -  ",(VLOOKUP(G$3+$A9,Resumo!$A$3:$G$228,7,0))," - ",(VLOOKUP(G$3+$A9,Resumo!$A$3:$G$228,3,0)))))</f>
        <v/>
      </c>
    </row>
    <row r="10" spans="1:7" ht="40.5" customHeight="1" x14ac:dyDescent="0.2">
      <c r="A10" s="23">
        <v>0.5</v>
      </c>
      <c r="B10" s="19" t="str">
        <f ca="1">IF(ISERROR(VLOOKUP(B$3+$A10,Resumo!$A$3:$G$228,2,0)),"",(CONCATENATE(VLOOKUP(B$3+$A10,Resumo!$A$3:$G$228,2,0),"  -  ",(VLOOKUP(B$3+$A10,Resumo!$A$3:$G$228,7,0))," - ",(VLOOKUP(B$3+$A10,Resumo!$A$3:$G$228,3,0)))))</f>
        <v/>
      </c>
      <c r="C10" s="19" t="str">
        <f ca="1">IF(ISERROR(VLOOKUP(C$3+$A10,Resumo!$A$3:$G$228,2,0)),"",(CONCATENATE(VLOOKUP(C$3+$A10,Resumo!$A$3:$G$228,2,0),"  -  ",(VLOOKUP(C$3+$A10,Resumo!$A$3:$G$228,7,0))," - ",(VLOOKUP(C$3+$A10,Resumo!$A$3:$G$228,3,0)))))</f>
        <v/>
      </c>
      <c r="D10" s="19" t="str">
        <f ca="1">IF(ISERROR(VLOOKUP(D$3+$A10,Resumo!$A$3:$G$228,2,0)),"",(CONCATENATE(VLOOKUP(D$3+$A10,Resumo!$A$3:$G$228,2,0),"  -  ",(VLOOKUP(D$3+$A10,Resumo!$A$3:$G$228,7,0))," - ",(VLOOKUP(D$3+$A10,Resumo!$A$3:$G$228,3,0)))))</f>
        <v/>
      </c>
      <c r="E10" s="19" t="str">
        <f ca="1">IF(ISERROR(VLOOKUP(E$3+$A10,Resumo!$A$3:$G$228,2,0)),"",(CONCATENATE(VLOOKUP(E$3+$A10,Resumo!$A$3:$G$228,2,0),"  -  ",(VLOOKUP(E$3+$A10,Resumo!$A$3:$G$228,7,0))," - ",(VLOOKUP(E$3+$A10,Resumo!$A$3:$G$228,3,0)))))</f>
        <v/>
      </c>
      <c r="F10" s="19" t="str">
        <f ca="1">IF(ISERROR(VLOOKUP(F$3+$A10,Resumo!$A$3:$G$228,2,0)),"",(CONCATENATE(VLOOKUP(F$3+$A10,Resumo!$A$3:$G$228,2,0),"  -  ",(VLOOKUP(F$3+$A10,Resumo!$A$3:$G$228,7,0))," - ",(VLOOKUP(F$3+$A10,Resumo!$A$3:$G$228,3,0)))))</f>
        <v/>
      </c>
      <c r="G10" s="19" t="str">
        <f ca="1">IF(ISERROR(VLOOKUP(G$3+$A10,Resumo!$A$3:$G$228,2,0)),"",(CONCATENATE(VLOOKUP(G$3+$A10,Resumo!$A$3:$G$228,2,0),"  -  ",(VLOOKUP(G$3+$A10,Resumo!$A$3:$G$228,7,0))," - ",(VLOOKUP(G$3+$A10,Resumo!$A$3:$G$228,3,0)))))</f>
        <v/>
      </c>
    </row>
    <row r="11" spans="1:7" ht="40.5" customHeight="1" x14ac:dyDescent="0.2">
      <c r="A11" s="23">
        <v>0.54166666666666496</v>
      </c>
      <c r="B11" s="19" t="str">
        <f ca="1">IF(ISERROR(VLOOKUP(B$3+$A11,Resumo!$A$3:$G$228,2,0)),"",(CONCATENATE(VLOOKUP(B$3+$A11,Resumo!$A$3:$G$228,2,0),"  -  ",(VLOOKUP(B$3+$A11,Resumo!$A$3:$G$228,7,0))," - ",(VLOOKUP(B$3+$A11,Resumo!$A$3:$G$228,3,0)))))</f>
        <v/>
      </c>
      <c r="C11" s="19" t="str">
        <f ca="1">IF(ISERROR(VLOOKUP(C$3+$A11,Resumo!$A$3:$G$228,2,0)),"",(CONCATENATE(VLOOKUP(C$3+$A11,Resumo!$A$3:$G$228,2,0),"  -  ",(VLOOKUP(C$3+$A11,Resumo!$A$3:$G$228,7,0))," - ",(VLOOKUP(C$3+$A11,Resumo!$A$3:$G$228,3,0)))))</f>
        <v/>
      </c>
      <c r="D11" s="19" t="str">
        <f ca="1">IF(ISERROR(VLOOKUP(D$3+$A11,Resumo!$A$3:$G$228,2,0)),"",(CONCATENATE(VLOOKUP(D$3+$A11,Resumo!$A$3:$G$228,2,0),"  -  ",(VLOOKUP(D$3+$A11,Resumo!$A$3:$G$228,7,0))," - ",(VLOOKUP(D$3+$A11,Resumo!$A$3:$G$228,3,0)))))</f>
        <v/>
      </c>
      <c r="E11" s="19" t="str">
        <f ca="1">IF(ISERROR(VLOOKUP(E$3+$A11,Resumo!$A$3:$G$228,2,0)),"",(CONCATENATE(VLOOKUP(E$3+$A11,Resumo!$A$3:$G$228,2,0),"  -  ",(VLOOKUP(E$3+$A11,Resumo!$A$3:$G$228,7,0))," - ",(VLOOKUP(E$3+$A11,Resumo!$A$3:$G$228,3,0)))))</f>
        <v/>
      </c>
      <c r="F11" s="19" t="str">
        <f ca="1">IF(ISERROR(VLOOKUP(F$3+$A11,Resumo!$A$3:$G$228,2,0)),"",(CONCATENATE(VLOOKUP(F$3+$A11,Resumo!$A$3:$G$228,2,0),"  -  ",(VLOOKUP(F$3+$A11,Resumo!$A$3:$G$228,7,0))," - ",(VLOOKUP(F$3+$A11,Resumo!$A$3:$G$228,3,0)))))</f>
        <v/>
      </c>
      <c r="G11" s="19" t="str">
        <f ca="1">IF(ISERROR(VLOOKUP(G$3+$A11,Resumo!$A$3:$G$228,2,0)),"",(CONCATENATE(VLOOKUP(G$3+$A11,Resumo!$A$3:$G$228,2,0),"  -  ",(VLOOKUP(G$3+$A11,Resumo!$A$3:$G$228,7,0))," - ",(VLOOKUP(G$3+$A11,Resumo!$A$3:$G$228,3,0)))))</f>
        <v/>
      </c>
    </row>
    <row r="12" spans="1:7" ht="40.5" customHeight="1" x14ac:dyDescent="0.2">
      <c r="A12" s="23">
        <v>0.58333333333333104</v>
      </c>
      <c r="B12" s="19" t="str">
        <f ca="1">IF(ISERROR(VLOOKUP(B$3+$A12,Resumo!$A$3:$G$228,2,0)),"",(CONCATENATE(VLOOKUP(B$3+$A12,Resumo!$A$3:$G$228,2,0),"  -  ",(VLOOKUP(B$3+$A12,Resumo!$A$3:$G$228,7,0))," - ",(VLOOKUP(B$3+$A12,Resumo!$A$3:$G$228,3,0)))))</f>
        <v/>
      </c>
      <c r="C12" s="19" t="str">
        <f ca="1">IF(ISERROR(VLOOKUP(C$3+$A12,Resumo!$A$3:$G$228,2,0)),"",(CONCATENATE(VLOOKUP(C$3+$A12,Resumo!$A$3:$G$228,2,0),"  -  ",(VLOOKUP(C$3+$A12,Resumo!$A$3:$G$228,7,0))," - ",(VLOOKUP(C$3+$A12,Resumo!$A$3:$G$228,3,0)))))</f>
        <v/>
      </c>
      <c r="D12" s="19" t="str">
        <f ca="1">IF(ISERROR(VLOOKUP(D$3+$A12,Resumo!$A$3:$G$228,2,0)),"",(CONCATENATE(VLOOKUP(D$3+$A12,Resumo!$A$3:$G$228,2,0),"  -  ",(VLOOKUP(D$3+$A12,Resumo!$A$3:$G$228,7,0))," - ",(VLOOKUP(D$3+$A12,Resumo!$A$3:$G$228,3,0)))))</f>
        <v/>
      </c>
      <c r="E12" s="19" t="str">
        <f ca="1">IF(ISERROR(VLOOKUP(E$3+$A12,Resumo!$A$3:$G$228,2,0)),"",(CONCATENATE(VLOOKUP(E$3+$A12,Resumo!$A$3:$G$228,2,0),"  -  ",(VLOOKUP(E$3+$A12,Resumo!$A$3:$G$228,7,0))," - ",(VLOOKUP(E$3+$A12,Resumo!$A$3:$G$228,3,0)))))</f>
        <v/>
      </c>
      <c r="F12" s="19" t="str">
        <f ca="1">IF(ISERROR(VLOOKUP(F$3+$A12,Resumo!$A$3:$G$228,2,0)),"",(CONCATENATE(VLOOKUP(F$3+$A12,Resumo!$A$3:$G$228,2,0),"  -  ",(VLOOKUP(F$3+$A12,Resumo!$A$3:$G$228,7,0))," - ",(VLOOKUP(F$3+$A12,Resumo!$A$3:$G$228,3,0)))))</f>
        <v/>
      </c>
      <c r="G12" s="19" t="str">
        <f ca="1">IF(ISERROR(VLOOKUP(G$3+$A12,Resumo!$A$3:$G$228,2,0)),"",(CONCATENATE(VLOOKUP(G$3+$A12,Resumo!$A$3:$G$228,2,0),"  -  ",(VLOOKUP(G$3+$A12,Resumo!$A$3:$G$228,7,0))," - ",(VLOOKUP(G$3+$A12,Resumo!$A$3:$G$228,3,0)))))</f>
        <v/>
      </c>
    </row>
    <row r="13" spans="1:7" ht="40.5" customHeight="1" x14ac:dyDescent="0.2">
      <c r="A13" s="23">
        <v>0.624999999999997</v>
      </c>
      <c r="B13" s="19" t="str">
        <f ca="1">IF(ISERROR(VLOOKUP(B$3+$A13,Resumo!$A$3:$G$228,2,0)),"",(CONCATENATE(VLOOKUP(B$3+$A13,Resumo!$A$3:$G$228,2,0),"  -  ",(VLOOKUP(B$3+$A13,Resumo!$A$3:$G$228,7,0))," - ",(VLOOKUP(B$3+$A13,Resumo!$A$3:$G$228,3,0)))))</f>
        <v/>
      </c>
      <c r="C13" s="19" t="str">
        <f ca="1">IF(ISERROR(VLOOKUP(C$3+$A13,Resumo!$A$3:$G$228,2,0)),"",(CONCATENATE(VLOOKUP(C$3+$A13,Resumo!$A$3:$G$228,2,0),"  -  ",(VLOOKUP(C$3+$A13,Resumo!$A$3:$G$228,7,0))," - ",(VLOOKUP(C$3+$A13,Resumo!$A$3:$G$228,3,0)))))</f>
        <v/>
      </c>
      <c r="D13" s="19" t="str">
        <f ca="1">IF(ISERROR(VLOOKUP(D$3+$A13,Resumo!$A$3:$G$228,2,0)),"",(CONCATENATE(VLOOKUP(D$3+$A13,Resumo!$A$3:$G$228,2,0),"  -  ",(VLOOKUP(D$3+$A13,Resumo!$A$3:$G$228,7,0))," - ",(VLOOKUP(D$3+$A13,Resumo!$A$3:$G$228,3,0)))))</f>
        <v/>
      </c>
      <c r="E13" s="19" t="str">
        <f ca="1">IF(ISERROR(VLOOKUP(E$3+$A13,Resumo!$A$3:$G$228,2,0)),"",(CONCATENATE(VLOOKUP(E$3+$A13,Resumo!$A$3:$G$228,2,0),"  -  ",(VLOOKUP(E$3+$A13,Resumo!$A$3:$G$228,7,0))," - ",(VLOOKUP(E$3+$A13,Resumo!$A$3:$G$228,3,0)))))</f>
        <v/>
      </c>
      <c r="F13" s="19" t="str">
        <f ca="1">IF(ISERROR(VLOOKUP(F$3+$A13,Resumo!$A$3:$G$228,2,0)),"",(CONCATENATE(VLOOKUP(F$3+$A13,Resumo!$A$3:$G$228,2,0),"  -  ",(VLOOKUP(F$3+$A13,Resumo!$A$3:$G$228,7,0))," - ",(VLOOKUP(F$3+$A13,Resumo!$A$3:$G$228,3,0)))))</f>
        <v/>
      </c>
      <c r="G13" s="19" t="str">
        <f ca="1">IF(ISERROR(VLOOKUP(G$3+$A13,Resumo!$A$3:$G$228,2,0)),"",(CONCATENATE(VLOOKUP(G$3+$A13,Resumo!$A$3:$G$228,2,0),"  -  ",(VLOOKUP(G$3+$A13,Resumo!$A$3:$G$228,7,0))," - ",(VLOOKUP(G$3+$A13,Resumo!$A$3:$G$228,3,0)))))</f>
        <v/>
      </c>
    </row>
    <row r="14" spans="1:7" ht="40.5" customHeight="1" x14ac:dyDescent="0.2">
      <c r="A14" s="23">
        <v>0.66666666666666397</v>
      </c>
      <c r="B14" s="19" t="str">
        <f ca="1">IF(ISERROR(VLOOKUP(B$3+$A14,Resumo!$A$3:$G$228,2,0)),"",(CONCATENATE(VLOOKUP(B$3+$A14,Resumo!$A$3:$G$228,2,0),"  -  ",(VLOOKUP(B$3+$A14,Resumo!$A$3:$G$228,7,0))," - ",(VLOOKUP(B$3+$A14,Resumo!$A$3:$G$228,3,0)))))</f>
        <v/>
      </c>
      <c r="C14" s="19" t="str">
        <f ca="1">IF(ISERROR(VLOOKUP(C$3+$A14,Resumo!$A$3:$G$228,2,0)),"",(CONCATENATE(VLOOKUP(C$3+$A14,Resumo!$A$3:$G$228,2,0),"  -  ",(VLOOKUP(C$3+$A14,Resumo!$A$3:$G$228,7,0))," - ",(VLOOKUP(C$3+$A14,Resumo!$A$3:$G$228,3,0)))))</f>
        <v xml:space="preserve">323  -  Bloco padrão (seção retangular) - 0,5 mm até 100 mm - </v>
      </c>
      <c r="D14" s="19" t="str">
        <f ca="1">IF(ISERROR(VLOOKUP(D$3+$A14,Resumo!$A$3:$G$228,2,0)),"",(CONCATENATE(VLOOKUP(D$3+$A14,Resumo!$A$3:$G$228,2,0),"  -  ",(VLOOKUP(D$3+$A14,Resumo!$A$3:$G$228,7,0))," - ",(VLOOKUP(D$3+$A14,Resumo!$A$3:$G$228,3,0)))))</f>
        <v/>
      </c>
      <c r="E14" s="19" t="str">
        <f ca="1">IF(ISERROR(VLOOKUP(E$3+$A14,Resumo!$A$3:$G$228,2,0)),"",(CONCATENATE(VLOOKUP(E$3+$A14,Resumo!$A$3:$G$228,2,0),"  -  ",(VLOOKUP(E$3+$A14,Resumo!$A$3:$G$228,7,0))," - ",(VLOOKUP(E$3+$A14,Resumo!$A$3:$G$228,3,0)))))</f>
        <v/>
      </c>
      <c r="F14" s="19" t="str">
        <f ca="1">IF(ISERROR(VLOOKUP(F$3+$A14,Resumo!$A$3:$G$228,2,0)),"",(CONCATENATE(VLOOKUP(F$3+$A14,Resumo!$A$3:$G$228,2,0),"  -  ",(VLOOKUP(F$3+$A14,Resumo!$A$3:$G$228,7,0))," - ",(VLOOKUP(F$3+$A14,Resumo!$A$3:$G$228,3,0)))))</f>
        <v/>
      </c>
      <c r="G14" s="19" t="str">
        <f ca="1">IF(ISERROR(VLOOKUP(G$3+$A14,Resumo!$A$3:$G$228,2,0)),"",(CONCATENATE(VLOOKUP(G$3+$A14,Resumo!$A$3:$G$228,2,0),"  -  ",(VLOOKUP(G$3+$A14,Resumo!$A$3:$G$228,7,0))," - ",(VLOOKUP(G$3+$A14,Resumo!$A$3:$G$228,3,0)))))</f>
        <v/>
      </c>
    </row>
    <row r="15" spans="1:7" ht="40.5" customHeight="1" x14ac:dyDescent="0.2">
      <c r="A15" s="23">
        <v>0.70833333333333004</v>
      </c>
      <c r="B15" s="19" t="str">
        <f ca="1">IF(ISERROR(VLOOKUP(B$3+$A15,Resumo!$A$3:$G$228,2,0)),"",(CONCATENATE(VLOOKUP(B$3+$A15,Resumo!$A$3:$G$228,2,0),"  -  ",(VLOOKUP(B$3+$A15,Resumo!$A$3:$G$228,7,0))," - ",(VLOOKUP(B$3+$A15,Resumo!$A$3:$G$228,3,0)))))</f>
        <v/>
      </c>
      <c r="C15" s="19" t="str">
        <f ca="1">IF(ISERROR(VLOOKUP(C$3+$A15,Resumo!$A$3:$G$228,2,0)),"",(CONCATENATE(VLOOKUP(C$3+$A15,Resumo!$A$3:$G$228,2,0),"  -  ",(VLOOKUP(C$3+$A15,Resumo!$A$3:$G$228,7,0))," - ",(VLOOKUP(C$3+$A15,Resumo!$A$3:$G$228,3,0)))))</f>
        <v/>
      </c>
      <c r="D15" s="19" t="str">
        <f ca="1">IF(ISERROR(VLOOKUP(D$3+$A15,Resumo!$A$3:$G$228,2,0)),"",(CONCATENATE(VLOOKUP(D$3+$A15,Resumo!$A$3:$G$228,2,0),"  -  ",(VLOOKUP(D$3+$A15,Resumo!$A$3:$G$228,7,0))," - ",(VLOOKUP(D$3+$A15,Resumo!$A$3:$G$228,3,0)))))</f>
        <v/>
      </c>
      <c r="E15" s="19" t="str">
        <f ca="1">IF(ISERROR(VLOOKUP(E$3+$A15,Resumo!$A$3:$G$228,2,0)),"",(CONCATENATE(VLOOKUP(E$3+$A15,Resumo!$A$3:$G$228,2,0),"  -  ",(VLOOKUP(E$3+$A15,Resumo!$A$3:$G$228,7,0))," - ",(VLOOKUP(E$3+$A15,Resumo!$A$3:$G$228,3,0)))))</f>
        <v/>
      </c>
      <c r="F15" s="19" t="str">
        <f ca="1">IF(ISERROR(VLOOKUP(F$3+$A15,Resumo!$A$3:$G$228,2,0)),"",(CONCATENATE(VLOOKUP(F$3+$A15,Resumo!$A$3:$G$228,2,0),"  -  ",(VLOOKUP(F$3+$A15,Resumo!$A$3:$G$228,7,0))," - ",(VLOOKUP(F$3+$A15,Resumo!$A$3:$G$228,3,0)))))</f>
        <v/>
      </c>
      <c r="G15" s="19" t="str">
        <f ca="1">IF(ISERROR(VLOOKUP(G$3+$A15,Resumo!$A$3:$G$228,2,0)),"",(CONCATENATE(VLOOKUP(G$3+$A15,Resumo!$A$3:$G$228,2,0),"  -  ",(VLOOKUP(G$3+$A15,Resumo!$A$3:$G$228,7,0))," - ",(VLOOKUP(G$3+$A15,Resumo!$A$3:$G$228,3,0)))))</f>
        <v/>
      </c>
    </row>
    <row r="16" spans="1:7" ht="30" customHeight="1" x14ac:dyDescent="0.2">
      <c r="A16" s="23">
        <v>0.749999999999996</v>
      </c>
      <c r="B16" s="19" t="str">
        <f ca="1">IF(ISERROR(VLOOKUP(B$3+$A16,Resumo!$A$3:$G$228,2,0)),"",(CONCATENATE(VLOOKUP(B$3+$A16,Resumo!$A$3:$G$228,2,0),"  -  ",(VLOOKUP(B$3+$A16,Resumo!$A$3:$G$228,7,0))," - ",(VLOOKUP(B$3+$A16,Resumo!$A$3:$G$228,3,0)))))</f>
        <v/>
      </c>
      <c r="C16" s="19" t="str">
        <f ca="1">IF(ISERROR(VLOOKUP(C$3+$A16,Resumo!$A$3:$G$228,2,0)),"",(CONCATENATE(VLOOKUP(C$3+$A16,Resumo!$A$3:$G$228,2,0),"  -  ",(VLOOKUP(C$3+$A16,Resumo!$A$3:$G$228,7,0))," - ",(VLOOKUP(C$3+$A16,Resumo!$A$3:$G$228,3,0)))))</f>
        <v/>
      </c>
      <c r="D16" s="19" t="str">
        <f ca="1">IF(ISERROR(VLOOKUP(D$3+$A16,Resumo!$A$3:$G$228,2,0)),"",(CONCATENATE(VLOOKUP(D$3+$A16,Resumo!$A$3:$G$228,2,0),"  -  ",(VLOOKUP(D$3+$A16,Resumo!$A$3:$G$228,7,0))," - ",(VLOOKUP(D$3+$A16,Resumo!$A$3:$G$228,3,0)))))</f>
        <v/>
      </c>
      <c r="E16" s="19" t="str">
        <f ca="1">IF(ISERROR(VLOOKUP(E$3+$A16,Resumo!$A$3:$G$228,2,0)),"",(CONCATENATE(VLOOKUP(E$3+$A16,Resumo!$A$3:$G$228,2,0),"  -  ",(VLOOKUP(E$3+$A16,Resumo!$A$3:$G$228,7,0))," - ",(VLOOKUP(E$3+$A16,Resumo!$A$3:$G$228,3,0)))))</f>
        <v/>
      </c>
      <c r="F16" s="19" t="str">
        <f ca="1">IF(ISERROR(VLOOKUP(F$3+$A16,Resumo!$A$3:$G$228,2,0)),"",(CONCATENATE(VLOOKUP(F$3+$A16,Resumo!$A$3:$G$228,2,0),"  -  ",(VLOOKUP(F$3+$A16,Resumo!$A$3:$G$228,7,0))," - ",(VLOOKUP(F$3+$A16,Resumo!$A$3:$G$228,3,0)))))</f>
        <v/>
      </c>
      <c r="G16" s="19" t="str">
        <f ca="1">IF(ISERROR(VLOOKUP(G$3+$A16,Resumo!$A$3:$G$228,2,0)),"",(CONCATENATE(VLOOKUP(G$3+$A16,Resumo!$A$3:$G$228,2,0),"  -  ",(VLOOKUP(G$3+$A16,Resumo!$A$3:$G$228,7,0))," - ",(VLOOKUP(G$3+$A16,Resumo!$A$3:$G$228,3,0)))))</f>
        <v/>
      </c>
    </row>
    <row r="17" spans="1:7" ht="30" customHeight="1" x14ac:dyDescent="0.2">
      <c r="A17" s="23">
        <v>0.79166666666666297</v>
      </c>
      <c r="B17" s="19" t="str">
        <f ca="1">IF(ISERROR(VLOOKUP(B$3+$A17,Resumo!$A$3:$G$228,2,0)),"",(CONCATENATE(VLOOKUP(B$3+$A17,Resumo!$A$3:$G$228,2,0),"  -  ",(VLOOKUP(B$3+$A17,Resumo!$A$3:$G$228,7,0))," - ",(VLOOKUP(B$3+$A17,Resumo!$A$3:$G$228,3,0)))))</f>
        <v/>
      </c>
      <c r="C17" s="19" t="str">
        <f ca="1">IF(ISERROR(VLOOKUP(C$3+$A17,Resumo!$A$3:$G$228,2,0)),"",(CONCATENATE(VLOOKUP(C$3+$A17,Resumo!$A$3:$G$228,2,0),"  -  ",(VLOOKUP(C$3+$A17,Resumo!$A$3:$G$228,7,0))," - ",(VLOOKUP(C$3+$A17,Resumo!$A$3:$G$228,3,0)))))</f>
        <v/>
      </c>
      <c r="D17" s="19" t="str">
        <f ca="1">IF(ISERROR(VLOOKUP(D$3+$A17,Resumo!$A$3:$G$228,2,0)),"",(CONCATENATE(VLOOKUP(D$3+$A17,Resumo!$A$3:$G$228,2,0),"  -  ",(VLOOKUP(D$3+$A17,Resumo!$A$3:$G$228,7,0))," - ",(VLOOKUP(D$3+$A17,Resumo!$A$3:$G$228,3,0)))))</f>
        <v/>
      </c>
      <c r="E17" s="19" t="str">
        <f ca="1">IF(ISERROR(VLOOKUP(E$3+$A17,Resumo!$A$3:$G$228,2,0)),"",(CONCATENATE(VLOOKUP(E$3+$A17,Resumo!$A$3:$G$228,2,0),"  -  ",(VLOOKUP(E$3+$A17,Resumo!$A$3:$G$228,7,0))," - ",(VLOOKUP(E$3+$A17,Resumo!$A$3:$G$228,3,0)))))</f>
        <v/>
      </c>
      <c r="F17" s="19" t="str">
        <f ca="1">IF(ISERROR(VLOOKUP(F$3+$A17,Resumo!$A$3:$G$228,2,0)),"",(CONCATENATE(VLOOKUP(F$3+$A17,Resumo!$A$3:$G$228,2,0),"  -  ",(VLOOKUP(F$3+$A17,Resumo!$A$3:$G$228,7,0))," - ",(VLOOKUP(F$3+$A17,Resumo!$A$3:$G$228,3,0)))))</f>
        <v/>
      </c>
      <c r="G17" s="19" t="str">
        <f ca="1">IF(ISERROR(VLOOKUP(G$3+$A17,Resumo!$A$3:$G$228,2,0)),"",(CONCATENATE(VLOOKUP(G$3+$A17,Resumo!$A$3:$G$228,2,0),"  -  ",(VLOOKUP(G$3+$A17,Resumo!$A$3:$G$228,7,0))," - ",(VLOOKUP(G$3+$A17,Resumo!$A$3:$G$228,3,0)))))</f>
        <v/>
      </c>
    </row>
    <row r="18" spans="1:7" ht="30" customHeight="1" x14ac:dyDescent="0.2">
      <c r="A18" s="23">
        <v>0.83333333333332904</v>
      </c>
      <c r="B18" s="19" t="str">
        <f ca="1">IF(ISERROR(VLOOKUP(B$3+$A18,Resumo!$A$3:$G$228,2,0)),"",(CONCATENATE(VLOOKUP(B$3+$A18,Resumo!$A$3:$G$228,2,0),"  -  ",(VLOOKUP(B$3+$A18,Resumo!$A$3:$G$228,7,0))," - ",(VLOOKUP(B$3+$A18,Resumo!$A$3:$G$228,3,0)))))</f>
        <v/>
      </c>
      <c r="C18" s="19" t="str">
        <f ca="1">IF(ISERROR(VLOOKUP(C$3+$A18,Resumo!$A$3:$G$228,2,0)),"",(CONCATENATE(VLOOKUP(C$3+$A18,Resumo!$A$3:$G$228,2,0),"  -  ",(VLOOKUP(C$3+$A18,Resumo!$A$3:$G$228,7,0))," - ",(VLOOKUP(C$3+$A18,Resumo!$A$3:$G$228,3,0)))))</f>
        <v/>
      </c>
      <c r="D18" s="19" t="str">
        <f ca="1">IF(ISERROR(VLOOKUP(D$3+$A18,Resumo!$A$3:$G$228,2,0)),"",(CONCATENATE(VLOOKUP(D$3+$A18,Resumo!$A$3:$G$228,2,0),"  -  ",(VLOOKUP(D$3+$A18,Resumo!$A$3:$G$228,7,0))," - ",(VLOOKUP(D$3+$A18,Resumo!$A$3:$G$228,3,0)))))</f>
        <v/>
      </c>
      <c r="E18" s="19" t="str">
        <f ca="1">IF(ISERROR(VLOOKUP(E$3+$A18,Resumo!$A$3:$G$228,2,0)),"",(CONCATENATE(VLOOKUP(E$3+$A18,Resumo!$A$3:$G$228,2,0),"  -  ",(VLOOKUP(E$3+$A18,Resumo!$A$3:$G$228,7,0))," - ",(VLOOKUP(E$3+$A18,Resumo!$A$3:$G$228,3,0)))))</f>
        <v/>
      </c>
      <c r="F18" s="19" t="str">
        <f ca="1">IF(ISERROR(VLOOKUP(F$3+$A18,Resumo!$A$3:$G$228,2,0)),"",(CONCATENATE(VLOOKUP(F$3+$A18,Resumo!$A$3:$G$228,2,0),"  -  ",(VLOOKUP(F$3+$A18,Resumo!$A$3:$G$228,7,0))," - ",(VLOOKUP(F$3+$A18,Resumo!$A$3:$G$228,3,0)))))</f>
        <v/>
      </c>
      <c r="G18" s="19" t="str">
        <f ca="1">IF(ISERROR(VLOOKUP(G$3+$A18,Resumo!$A$3:$G$228,2,0)),"",(CONCATENATE(VLOOKUP(G$3+$A18,Resumo!$A$3:$G$228,2,0),"  -  ",(VLOOKUP(G$3+$A18,Resumo!$A$3:$G$228,7,0))," - ",(VLOOKUP(G$3+$A18,Resumo!$A$3:$G$228,3,0)))))</f>
        <v/>
      </c>
    </row>
    <row r="19" spans="1:7" ht="30" customHeight="1" x14ac:dyDescent="0.2">
      <c r="A19" s="23">
        <v>0.874999999999995</v>
      </c>
      <c r="B19" s="19" t="str">
        <f ca="1">IF(ISERROR(VLOOKUP(B$3+$A19,Resumo!$A$3:$G$228,2,0)),"",(CONCATENATE(VLOOKUP(B$3+$A19,Resumo!$A$3:$G$228,2,0),"  -  ",(VLOOKUP(B$3+$A19,Resumo!$A$3:$G$228,7,0))," - ",(VLOOKUP(B$3+$A19,Resumo!$A$3:$G$228,3,0)))))</f>
        <v/>
      </c>
      <c r="C19" s="19" t="str">
        <f ca="1">IF(ISERROR(VLOOKUP(C$3+$A19,Resumo!$A$3:$G$228,2,0)),"",(CONCATENATE(VLOOKUP(C$3+$A19,Resumo!$A$3:$G$228,2,0),"  -  ",(VLOOKUP(C$3+$A19,Resumo!$A$3:$G$228,7,0))," - ",(VLOOKUP(C$3+$A19,Resumo!$A$3:$G$228,3,0)))))</f>
        <v/>
      </c>
      <c r="D19" s="19" t="str">
        <f ca="1">IF(ISERROR(VLOOKUP(D$3+$A19,Resumo!$A$3:$G$228,2,0)),"",(CONCATENATE(VLOOKUP(D$3+$A19,Resumo!$A$3:$G$228,2,0),"  -  ",(VLOOKUP(D$3+$A19,Resumo!$A$3:$G$228,7,0))," - ",(VLOOKUP(D$3+$A19,Resumo!$A$3:$G$228,3,0)))))</f>
        <v/>
      </c>
      <c r="E19" s="19" t="str">
        <f ca="1">IF(ISERROR(VLOOKUP(E$3+$A19,Resumo!$A$3:$G$228,2,0)),"",(CONCATENATE(VLOOKUP(E$3+$A19,Resumo!$A$3:$G$228,2,0),"  -  ",(VLOOKUP(E$3+$A19,Resumo!$A$3:$G$228,7,0))," - ",(VLOOKUP(E$3+$A19,Resumo!$A$3:$G$228,3,0)))))</f>
        <v/>
      </c>
      <c r="F19" s="19" t="str">
        <f ca="1">IF(ISERROR(VLOOKUP(F$3+$A19,Resumo!$A$3:$G$228,2,0)),"",(CONCATENATE(VLOOKUP(F$3+$A19,Resumo!$A$3:$G$228,2,0),"  -  ",(VLOOKUP(F$3+$A19,Resumo!$A$3:$G$228,7,0))," - ",(VLOOKUP(F$3+$A19,Resumo!$A$3:$G$228,3,0)))))</f>
        <v/>
      </c>
      <c r="G19" s="19" t="str">
        <f ca="1">IF(ISERROR(VLOOKUP(G$3+$A19,Resumo!$A$3:$G$228,2,0)),"",(CONCATENATE(VLOOKUP(G$3+$A19,Resumo!$A$3:$G$228,2,0),"  -  ",(VLOOKUP(G$3+$A19,Resumo!$A$3:$G$228,7,0))," - ",(VLOOKUP(G$3+$A19,Resumo!$A$3:$G$228,3,0)))))</f>
        <v/>
      </c>
    </row>
    <row r="20" spans="1:7" ht="24.75" customHeight="1" x14ac:dyDescent="0.2">
      <c r="A20" s="24"/>
    </row>
  </sheetData>
  <mergeCells count="1">
    <mergeCell ref="A3:A4"/>
  </mergeCells>
  <conditionalFormatting sqref="B5:G19">
    <cfRule type="expression" dxfId="0" priority="2">
      <formula>OR(WEEKDAY(B$7,1)=1,(WEEKDAY(B$7,1)=7))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Atual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2017-08-29T19:32:33Z</dcterms:modified>
</cp:coreProperties>
</file>